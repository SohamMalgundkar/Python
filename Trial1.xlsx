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EXCEL\"/>
    </mc:Choice>
  </mc:AlternateContent>
  <xr:revisionPtr revIDLastSave="0" documentId="8_{D098B2E5-ED53-40BF-BF4B-713321D09284}" xr6:coauthVersionLast="47" xr6:coauthVersionMax="47" xr10:uidLastSave="{00000000-0000-0000-0000-000000000000}"/>
  <bookViews>
    <workbookView xWindow="-108" yWindow="-108" windowWidth="23256" windowHeight="12456" xr2:uid="{819B42F1-7B69-45B1-8135-1B3F92361416}"/>
  </bookViews>
  <sheets>
    <sheet name="Sheet1" sheetId="1" r:id="rId1"/>
  </sheets>
  <definedNames>
    <definedName name="DATA">Sheet1!$B$2:$F$12</definedName>
    <definedName name="Gsalary">Sheet1!$D$3:$D$12</definedName>
    <definedName name="Name">Sheet1!$C$3:$C$12</definedName>
    <definedName name="Tax">Sheet1!$E$2:$E$12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10" i="1"/>
  <c r="I9" i="1"/>
  <c r="I8" i="1"/>
  <c r="I7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<sst xmlns="http://schemas.openxmlformats.org/spreadsheetml/2006/main" count="25" uniqueCount="21">
  <si>
    <t>SR .NO</t>
  </si>
  <si>
    <t>NAME</t>
  </si>
  <si>
    <t>SALARY</t>
  </si>
  <si>
    <t>TAX</t>
  </si>
  <si>
    <t>NET SALARY</t>
  </si>
  <si>
    <t>ABDULLAH</t>
  </si>
  <si>
    <t>ANAS</t>
  </si>
  <si>
    <t>HAMZAH</t>
  </si>
  <si>
    <t>FAISAL</t>
  </si>
  <si>
    <t>TALHA</t>
  </si>
  <si>
    <t>ASAD</t>
  </si>
  <si>
    <t>HUZAIFA</t>
  </si>
  <si>
    <t>RAYYAN</t>
  </si>
  <si>
    <t>AHEMAD ALI</t>
  </si>
  <si>
    <t>HANZALA</t>
  </si>
  <si>
    <t>SUM</t>
  </si>
  <si>
    <t>MIN</t>
  </si>
  <si>
    <t>MAX</t>
  </si>
  <si>
    <t>COUNT</t>
  </si>
  <si>
    <t>COUNTA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</si>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</sst>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1" xfId="0" applyFont="1" applyBorder="1"/>
    <xf numFmtId="9" fontId="3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90B4-93F1-46CF-AE69-8FFF698D080D}">
  <dimension ref="B2:L12"/>
  <sheetViews>
    <sheetView tabSelected="1" workbookViewId="0">
      <selection activeCell="L7" sqref="L7"/>
    </sheetView>
  </sheetViews>
  <sheetFormatPr defaultRowHeight="14.4" x14ac:dyDescent="0.3"/>
  <sheetData>
    <row r="2" spans="2:12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12" x14ac:dyDescent="0.3">
      <c r="B3" s="7">
        <v>1</v>
      </c>
      <c r="C3" s="8" t="s">
        <v>5</v>
      </c>
      <c r="D3" s="5">
        <v>25000</v>
      </c>
      <c r="E3" s="5">
        <f>D3*$H$5</f>
        <v>500</v>
      </c>
      <c r="F3" s="5">
        <f>D3*$J$5</f>
        <v>8750</v>
      </c>
    </row>
    <row r="4" spans="2:12" x14ac:dyDescent="0.3">
      <c r="B4" s="7">
        <v>2</v>
      </c>
      <c r="C4" s="8" t="s">
        <v>6</v>
      </c>
      <c r="D4" s="5">
        <v>62000</v>
      </c>
      <c r="E4" s="5">
        <f>D4*$H$5</f>
        <v>1240</v>
      </c>
      <c r="F4" s="5">
        <f>D4*$J$5</f>
        <v>21700</v>
      </c>
      <c r="H4" s="3" t="s">
        <v>3</v>
      </c>
      <c r="J4" s="3" t="s">
        <v>4</v>
      </c>
    </row>
    <row r="5" spans="2:12" x14ac:dyDescent="0.3">
      <c r="B5" s="7">
        <v>3</v>
      </c>
      <c r="C5" s="8" t="s">
        <v>7</v>
      </c>
      <c r="D5" s="5">
        <v>32000</v>
      </c>
      <c r="E5" s="5">
        <f>D5*$H$5</f>
        <v>640</v>
      </c>
      <c r="F5" s="5">
        <f>D5*$J$5</f>
        <v>11200</v>
      </c>
      <c r="H5" s="6">
        <v>0.02</v>
      </c>
      <c r="J5" s="6">
        <v>0.35</v>
      </c>
      <c r="L5" s="1"/>
    </row>
    <row r="6" spans="2:12" x14ac:dyDescent="0.3">
      <c r="B6" s="7">
        <v>4</v>
      </c>
      <c r="C6" s="8" t="s">
        <v>8</v>
      </c>
      <c r="D6" s="5">
        <v>55000</v>
      </c>
      <c r="E6" s="5">
        <f>D6*$H$5</f>
        <v>1100</v>
      </c>
      <c r="F6" s="5">
        <f>D6*$J$5</f>
        <v>19250</v>
      </c>
      <c r="L6" s="1"/>
    </row>
    <row r="7" spans="2:12" x14ac:dyDescent="0.3">
      <c r="B7" s="7">
        <v>5</v>
      </c>
      <c r="C7" s="8" t="s">
        <v>9</v>
      </c>
      <c r="D7" s="5">
        <v>45000</v>
      </c>
      <c r="E7" s="5">
        <f>D7*$H$5</f>
        <v>900</v>
      </c>
      <c r="F7" s="5">
        <f>D7*$J$5</f>
        <v>15749.999999999998</v>
      </c>
      <c r="H7" s="4" t="s">
        <v>15</v>
      </c>
      <c r="I7" s="5">
        <f>SUM(Gsalary)</f>
        <v>464200</v>
      </c>
      <c r="L7" s="1"/>
    </row>
    <row r="8" spans="2:12" x14ac:dyDescent="0.3">
      <c r="B8" s="7">
        <v>6</v>
      </c>
      <c r="C8" s="8" t="s">
        <v>10</v>
      </c>
      <c r="D8" s="5"/>
      <c r="E8" s="5">
        <f>D8*$H$5</f>
        <v>0</v>
      </c>
      <c r="F8" s="5">
        <f>D8*$J$5</f>
        <v>0</v>
      </c>
      <c r="H8" s="4" t="s">
        <v>16</v>
      </c>
      <c r="I8" s="5">
        <f>MIN(Gsalary)</f>
        <v>15000</v>
      </c>
      <c r="L8" s="1"/>
    </row>
    <row r="9" spans="2:12" x14ac:dyDescent="0.3">
      <c r="B9" s="7">
        <v>7</v>
      </c>
      <c r="C9" s="8" t="s">
        <v>11</v>
      </c>
      <c r="D9" s="5">
        <v>98000</v>
      </c>
      <c r="E9" s="5">
        <f>D9*$H$5</f>
        <v>1960</v>
      </c>
      <c r="F9" s="5">
        <f>D9*$J$5</f>
        <v>34300</v>
      </c>
      <c r="H9" s="4" t="s">
        <v>17</v>
      </c>
      <c r="I9" s="5">
        <f>MAX(Gsalary)</f>
        <v>98000</v>
      </c>
      <c r="L9" s="1"/>
    </row>
    <row r="10" spans="2:12" x14ac:dyDescent="0.3">
      <c r="B10" s="7">
        <v>8</v>
      </c>
      <c r="C10" s="8" t="s">
        <v>12</v>
      </c>
      <c r="D10" s="5">
        <v>45200</v>
      </c>
      <c r="E10" s="5">
        <f>D10*$H$5</f>
        <v>904</v>
      </c>
      <c r="F10" s="5">
        <f>D10*$J$5</f>
        <v>15819.999999999998</v>
      </c>
      <c r="H10" s="4" t="s">
        <v>18</v>
      </c>
      <c r="I10" s="5">
        <f>COUNT(Gsalary)</f>
        <v>9</v>
      </c>
      <c r="J10" s="9" t="s">
        <v>2</v>
      </c>
      <c r="L10" s="1"/>
    </row>
    <row r="11" spans="2:12" x14ac:dyDescent="0.3">
      <c r="B11" s="7">
        <v>9</v>
      </c>
      <c r="C11" s="8" t="s">
        <v>13</v>
      </c>
      <c r="D11" s="5">
        <v>15000</v>
      </c>
      <c r="E11" s="5">
        <f>D11*$H$5</f>
        <v>300</v>
      </c>
      <c r="F11" s="5">
        <f>D11*$J$5</f>
        <v>5250</v>
      </c>
      <c r="H11" s="4" t="s">
        <v>19</v>
      </c>
      <c r="I11" s="5">
        <f>COUNTA(Name)</f>
        <v>10</v>
      </c>
      <c r="J11" s="9" t="s">
        <v>1</v>
      </c>
    </row>
    <row r="12" spans="2:12" x14ac:dyDescent="0.3">
      <c r="B12" s="7">
        <v>10</v>
      </c>
      <c r="C12" s="8" t="s">
        <v>14</v>
      </c>
      <c r="D12" s="5">
        <v>87000</v>
      </c>
      <c r="E12" s="5">
        <f>D12*$H$5</f>
        <v>1740</v>
      </c>
      <c r="F12" s="5">
        <f>D12*$J$5</f>
        <v>30449.999999999996</v>
      </c>
      <c r="H12" s="4" t="s">
        <v>20</v>
      </c>
      <c r="I12" s="5">
        <f>AVERAGE(Gsalary)</f>
        <v>51577.777777777781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DATA</vt:lpstr>
      <vt:lpstr>Gsalary</vt:lpstr>
      <vt:lpstr>Name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2025-11-17T14:32:00Z</dcterms:created>
  <dcterms:modified xsi:type="dcterms:W3CDTF">2025-11-17T14:56:51Z</dcterms:modified>
</cp:coreProperties>
</file>