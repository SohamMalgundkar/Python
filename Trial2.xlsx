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\Desktop\ABDULLAH\EXCEL\PRACTICAL\"/>
    </mc:Choice>
  </mc:AlternateContent>
  <xr:revisionPtr revIDLastSave="0" documentId="8_{B38B3320-E90D-4303-991D-A7EE99E63E5A}" xr6:coauthVersionLast="47" xr6:coauthVersionMax="47" xr10:uidLastSave="{00000000-0000-0000-0000-000000000000}"/>
  <bookViews>
    <workbookView xWindow="-108" yWindow="-108" windowWidth="23256" windowHeight="12456" activeTab="1" xr2:uid="{AFCF2B29-9AAA-4A41-B88C-A53169BAB22A}"/>
  </bookViews>
  <sheets>
    <sheet name="Sheet1" sheetId="1" r:id="rId1"/>
    <sheet name="SHEET2" sheetId="2" r:id="rId2"/>
  </sheets>
  <definedNames>
    <definedName name="budget">SHEET2!$D$2:$D$33</definedName>
    <definedName name="Gsalary">Sheet1!$B:$B</definedName>
    <definedName name="sales">SHEET2!$E$2:$E$33</definedName>
    <definedName name="soh">Sheet1!$B$2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2" l="1"/>
  <c r="M12" i="2"/>
  <c r="O9" i="2"/>
  <c r="M9" i="2"/>
  <c r="O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G2" i="1" a="1"/>
  <c r="G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K12" i="1"/>
  <c r="K11" i="1"/>
  <c r="K10" i="1"/>
  <c r="K9" i="1"/>
  <c r="K8" i="1"/>
  <c r="F3" i="1"/>
  <c r="F4" i="1"/>
  <c r="F5" i="1"/>
  <c r="F6" i="1"/>
  <c r="F7" i="1"/>
  <c r="F8" i="1"/>
  <c r="F9" i="1"/>
  <c r="F10" i="1"/>
  <c r="F2" i="1"/>
  <c r="K7" i="1"/>
  <c r="D3" i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<sst xmlns="http://schemas.openxmlformats.org/spreadsheetml/2006/main" count="104" uniqueCount="45">
  <si>
    <t>dfffg</t>
  </si>
  <si>
    <t>g</t>
  </si>
  <si>
    <t>hh</t>
  </si>
  <si>
    <t>hhh</t>
  </si>
  <si>
    <t>hjtrt</t>
  </si>
  <si>
    <t>htyt</t>
  </si>
  <si>
    <t>eerr</t>
  </si>
  <si>
    <t>net salary</t>
  </si>
  <si>
    <t>tax</t>
  </si>
  <si>
    <t>Name</t>
  </si>
  <si>
    <t>Sum</t>
  </si>
  <si>
    <t>min</t>
  </si>
  <si>
    <t>max</t>
  </si>
  <si>
    <t>average</t>
  </si>
  <si>
    <t>count</t>
  </si>
  <si>
    <t>rate</t>
  </si>
  <si>
    <t>bonus</t>
  </si>
  <si>
    <t>counta</t>
  </si>
  <si>
    <t>jhonny</t>
  </si>
  <si>
    <t>jordi</t>
  </si>
  <si>
    <t>Dist</t>
  </si>
  <si>
    <t>product</t>
  </si>
  <si>
    <t>year</t>
  </si>
  <si>
    <t>Budget Sale</t>
  </si>
  <si>
    <t>Sale</t>
  </si>
  <si>
    <t>Difference</t>
  </si>
  <si>
    <t>mumbai</t>
  </si>
  <si>
    <t>pune</t>
  </si>
  <si>
    <t>satara</t>
  </si>
  <si>
    <t>kolhapur</t>
  </si>
  <si>
    <t>Motorola</t>
  </si>
  <si>
    <t>MI</t>
  </si>
  <si>
    <t>Itel</t>
  </si>
  <si>
    <t>Lenovo</t>
  </si>
  <si>
    <t>maxifs</t>
  </si>
  <si>
    <t>sumifs</t>
  </si>
  <si>
    <t>minifs</t>
  </si>
  <si>
    <t>countifs</t>
  </si>
  <si>
    <t>avgifs</t>
  </si>
  <si>
    <t>bonus with Ifs</t>
  </si>
  <si>
    <t>Bonus</t>
  </si>
  <si>
    <t>Rating</t>
  </si>
  <si>
    <t>Tax</t>
  </si>
  <si>
    <t>Net Salary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</si>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</sst>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</cellXfs>
  <cellStyles count="1">
    <cellStyle name="Normal" xfId="0" builtinId="0"/>
  </cellStyles>
  <dxfs count="6">
    <dxf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3B174-8B63-44F1-933E-2F0C65446F70}" name="Table1" displayName="Table1" ref="A1:F33" totalsRowShown="0">
  <autoFilter ref="A1:F33" xr:uid="{D003B174-8B63-44F1-933E-2F0C65446F70}"/>
  <tableColumns count="6">
    <tableColumn id="1" xr3:uid="{4CD7B79C-56FB-48D5-BA3E-4C066D915800}" name="Dist"/>
    <tableColumn id="2" xr3:uid="{E985AB8E-5D18-47EC-A57E-4F6FC304664B}" name="product"/>
    <tableColumn id="3" xr3:uid="{A3E27FE5-F015-44CB-B43F-B41A87B9C48F}" name="year"/>
    <tableColumn id="4" xr3:uid="{329A3DBD-BE0D-43FC-8802-6B8E590E1BCC}" name="Budget Sale"/>
    <tableColumn id="5" xr3:uid="{8DB5F030-D1F6-4E9B-8EF5-AF1BE461FF5E}" name="Sale"/>
    <tableColumn id="6" xr3:uid="{A7430A69-9A57-416E-9DC3-6AAE3ED0B7EC}" name="Difference" dataDxfId="5">
      <calculatedColumnFormula>Table1[[#This Row],[Budget Sale]]-Table1[[#This Row],[Sale]]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386A25-730C-4CB9-831A-C50BB6EB7BF6}" name="Table2" displayName="Table2" ref="O11:O12" totalsRowShown="0" headerRowDxfId="4" headerRowBorderDxfId="3" tableBorderDxfId="2" totalsRowBorderDxfId="1">
  <autoFilter ref="O11:O12" xr:uid="{82386A25-730C-4CB9-831A-C50BB6EB7BF6}"/>
  <tableColumns count="1">
    <tableColumn id="1" xr3:uid="{7CA2EC4D-982D-4164-A31D-3EB0B0628998}" name="avgifs" dataDxfId="0">
      <calculatedColumnFormula>AVERAGEIFS(sales,Table1[year],M5,Table1[product],N5)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F923B6-1997-4593-86CF-588FE2AB119B}">
  <we:reference id="wa200005107" version="1.1.0.0" store="en-US" storeType="OMEX"/>
  <we:alternateReferences>
    <we:reference id="WA200005107" version="1.1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032A-8877-4679-A17F-76920A465478}">
  <dimension ref="A1:X19"/>
  <sheetViews>
    <sheetView zoomScale="120" zoomScaleNormal="120" workbookViewId="0">
      <selection activeCell="B1" sqref="B1"/>
    </sheetView>
  </sheetViews>
  <sheetFormatPr defaultRowHeight="14.4" x14ac:dyDescent="0.3"/>
  <cols>
    <col min="3" max="3" width="12.21875" customWidth="1"/>
    <col min="7" max="7" width="15" customWidth="1"/>
    <col min="8" max="8" width="17.5546875" customWidth="1"/>
  </cols>
  <sheetData>
    <row r="1" spans="1:24" s="1" customFormat="1" x14ac:dyDescent="0.3">
      <c r="A1" s="3" t="s">
        <v>9</v>
      </c>
      <c r="B1" s="3" t="s">
        <v>44</v>
      </c>
      <c r="C1" s="3" t="s">
        <v>43</v>
      </c>
      <c r="D1" s="3" t="s">
        <v>42</v>
      </c>
      <c r="E1" s="3" t="s">
        <v>41</v>
      </c>
      <c r="F1" s="3" t="s">
        <v>40</v>
      </c>
      <c r="G1" s="3" t="s">
        <v>39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4" x14ac:dyDescent="0.3">
      <c r="A2" s="1" t="s">
        <v>18</v>
      </c>
      <c r="B2" s="1">
        <v>12120</v>
      </c>
      <c r="C2" s="1">
        <f>B2*$K$4</f>
        <v>4242</v>
      </c>
      <c r="D2" s="1">
        <f>B2*$J$4</f>
        <v>242.4</v>
      </c>
      <c r="E2" s="1">
        <v>2</v>
      </c>
      <c r="F2" s="1">
        <f>IF(E2=$J$15,$K$15,IF(E2=$J$16,$K$16,IF(E2=$J$17,$K$17,IF(E2=$J$18,$K$18,IF(E2=$J$19,$K$19,0)))))</f>
        <v>2000</v>
      </c>
      <c r="G2" s="1" cm="1">
        <f t="array" ref="G2">_xlfn.IFNA(_xlfn.IFS(E2=$J$15,$K$15,E2=$J$16,$K$16,E2=$J$17,$K$17,E2=$J$18,$K$18,E2=$J$19,$K$19),0)</f>
        <v>2000</v>
      </c>
    </row>
    <row r="3" spans="1:24" x14ac:dyDescent="0.3">
      <c r="A3" s="1" t="s">
        <v>19</v>
      </c>
      <c r="B3" s="1">
        <v>10100</v>
      </c>
      <c r="C3" s="1">
        <f t="shared" ref="C3:C10" si="0">B3*$K$4</f>
        <v>3535</v>
      </c>
      <c r="D3" s="1">
        <f t="shared" ref="D3:D10" si="1">B3*$J$4</f>
        <v>202</v>
      </c>
      <c r="E3" s="1">
        <v>4</v>
      </c>
      <c r="F3" s="1">
        <f t="shared" ref="F3:F10" si="2">IF(E3=$J$15,$K$15,IF(E3=$J$16,$K$16,IF(E3=$J$17,$K$17,IF(E3=$J$18,$K$18,IF(E3=$J$19,$K$19,0)))))</f>
        <v>4000</v>
      </c>
      <c r="G3" s="1" cm="1">
        <f t="array" ref="G3">IFERROR(_xlfn.IFS(E3=$J$15,$K$15,E3=$J$16,$K$16,E3=$J$17,$K$17,E3=$J$18,$K$18,E3=$J$19,$K$19),0)</f>
        <v>4000</v>
      </c>
      <c r="J3" s="4" t="s">
        <v>8</v>
      </c>
      <c r="K3" s="4" t="s">
        <v>7</v>
      </c>
    </row>
    <row r="4" spans="1:24" x14ac:dyDescent="0.3">
      <c r="A4" s="1" t="s">
        <v>0</v>
      </c>
      <c r="B4" s="1">
        <v>25000</v>
      </c>
      <c r="C4" s="1">
        <f t="shared" si="0"/>
        <v>8750</v>
      </c>
      <c r="D4" s="1">
        <f t="shared" si="1"/>
        <v>500</v>
      </c>
      <c r="E4" s="1">
        <v>2</v>
      </c>
      <c r="F4" s="1">
        <f t="shared" si="2"/>
        <v>2000</v>
      </c>
      <c r="G4" s="1" cm="1">
        <f t="array" ref="G4">IFERROR(_xlfn.IFS(E4=$J$15,$K$15,E4=$J$16,$K$16,E4=$J$17,$K$17,E4=$J$18,$K$18,E4=$J$19,$K$19),0)</f>
        <v>2000</v>
      </c>
      <c r="J4" s="2">
        <v>0.02</v>
      </c>
      <c r="K4" s="2">
        <v>0.35</v>
      </c>
    </row>
    <row r="5" spans="1:24" x14ac:dyDescent="0.3">
      <c r="A5" s="1" t="s">
        <v>1</v>
      </c>
      <c r="B5" s="1">
        <v>42000</v>
      </c>
      <c r="C5" s="1">
        <f t="shared" si="0"/>
        <v>14699.999999999998</v>
      </c>
      <c r="D5" s="1">
        <f t="shared" si="1"/>
        <v>840</v>
      </c>
      <c r="E5" s="1">
        <v>5</v>
      </c>
      <c r="F5" s="1">
        <f t="shared" si="2"/>
        <v>5000</v>
      </c>
      <c r="G5" s="1" cm="1">
        <f t="array" ref="G5">IFERROR(_xlfn.IFS(E5=$J$15,$K$15,E5=$J$16,$K$16,E5=$J$17,$K$17,E5=$J$18,$K$18,E5=$J$19,$K$19),0)</f>
        <v>5000</v>
      </c>
    </row>
    <row r="6" spans="1:24" x14ac:dyDescent="0.3">
      <c r="A6" s="1" t="s">
        <v>3</v>
      </c>
      <c r="B6" s="1">
        <v>63000</v>
      </c>
      <c r="C6" s="1">
        <f t="shared" si="0"/>
        <v>22050</v>
      </c>
      <c r="D6" s="1">
        <f t="shared" si="1"/>
        <v>1260</v>
      </c>
      <c r="E6" s="1">
        <v>3</v>
      </c>
      <c r="F6" s="1">
        <f t="shared" si="2"/>
        <v>3000</v>
      </c>
      <c r="G6" s="1" cm="1">
        <f t="array" ref="G6">IFERROR(_xlfn.IFS(E6=$J$15,$K$15,E6=$J$16,$K$16,E6=$J$17,$K$17,E6=$J$18,$K$18,E6=$J$19,$K$19),0)</f>
        <v>3000</v>
      </c>
    </row>
    <row r="7" spans="1:24" x14ac:dyDescent="0.3">
      <c r="A7" s="1" t="s">
        <v>2</v>
      </c>
      <c r="B7" s="1">
        <v>42000</v>
      </c>
      <c r="C7" s="1">
        <f t="shared" si="0"/>
        <v>14699.999999999998</v>
      </c>
      <c r="D7" s="1">
        <f t="shared" si="1"/>
        <v>840</v>
      </c>
      <c r="E7" s="1">
        <v>0</v>
      </c>
      <c r="F7" s="1">
        <f t="shared" si="2"/>
        <v>0</v>
      </c>
      <c r="G7" s="1" cm="1">
        <f t="array" ref="G7">IFERROR(_xlfn.IFS(E7=$J$15,$K$15,E7=$J$16,$K$16,E7=$J$17,$K$17,E7=$J$18,$K$18,E7=$J$19,$K$19),0)</f>
        <v>0</v>
      </c>
      <c r="J7" s="4" t="s">
        <v>10</v>
      </c>
      <c r="K7" s="1">
        <f>SUM(Gsalary)</f>
        <v>269220</v>
      </c>
    </row>
    <row r="8" spans="1:24" x14ac:dyDescent="0.3">
      <c r="A8" s="1" t="s">
        <v>4</v>
      </c>
      <c r="B8" s="1">
        <v>15000</v>
      </c>
      <c r="C8" s="1">
        <f t="shared" si="0"/>
        <v>5250</v>
      </c>
      <c r="D8" s="1">
        <f t="shared" si="1"/>
        <v>300</v>
      </c>
      <c r="E8" s="1">
        <v>2</v>
      </c>
      <c r="F8" s="1">
        <f t="shared" si="2"/>
        <v>2000</v>
      </c>
      <c r="G8" s="1" cm="1">
        <f t="array" ref="G8">IFERROR(_xlfn.IFS(E8=$J$15,$K$15,E8=$J$16,$K$16,E8=$J$17,$K$17,E8=$J$18,$K$18,E8=$J$19,$K$19),0)</f>
        <v>2000</v>
      </c>
      <c r="J8" s="4" t="s">
        <v>11</v>
      </c>
      <c r="K8" s="1">
        <f>MIN(Gsalary)</f>
        <v>10100</v>
      </c>
    </row>
    <row r="9" spans="1:24" x14ac:dyDescent="0.3">
      <c r="A9" s="1" t="s">
        <v>5</v>
      </c>
      <c r="B9" s="1">
        <v>40000</v>
      </c>
      <c r="C9" s="1">
        <f t="shared" si="0"/>
        <v>14000</v>
      </c>
      <c r="D9" s="1">
        <f t="shared" si="1"/>
        <v>800</v>
      </c>
      <c r="E9" s="1">
        <v>2</v>
      </c>
      <c r="F9" s="1">
        <f t="shared" si="2"/>
        <v>2000</v>
      </c>
      <c r="G9" s="1" cm="1">
        <f t="array" ref="G9">IFERROR(_xlfn.IFS(E9=$J$15,$K$15,E9=$J$16,$K$16,E9=$J$17,$K$17,E9=$J$18,$K$18,E9=$J$19,$K$19),0)</f>
        <v>2000</v>
      </c>
      <c r="J9" s="4" t="s">
        <v>12</v>
      </c>
      <c r="K9" s="1">
        <f>MAX(Gsalary)</f>
        <v>63000</v>
      </c>
    </row>
    <row r="10" spans="1:24" x14ac:dyDescent="0.3">
      <c r="A10" s="1" t="s">
        <v>6</v>
      </c>
      <c r="B10" s="1">
        <v>20000</v>
      </c>
      <c r="C10" s="1">
        <f t="shared" si="0"/>
        <v>7000</v>
      </c>
      <c r="D10" s="1">
        <f t="shared" si="1"/>
        <v>400</v>
      </c>
      <c r="E10" s="1">
        <v>3</v>
      </c>
      <c r="F10" s="1">
        <f t="shared" si="2"/>
        <v>3000</v>
      </c>
      <c r="G10" s="1" cm="1">
        <f t="array" ref="G10">IFERROR(_xlfn.IFS(E10=$J$15,$K$15,E10=$J$16,$K$16,E10=$J$17,$K$17,E10=$J$18,$K$18,E10=$J$19,$K$19),0)</f>
        <v>3000</v>
      </c>
      <c r="J10" s="4" t="s">
        <v>13</v>
      </c>
      <c r="K10" s="1">
        <f>AVERAGE(Gsalary)</f>
        <v>29913.333333333332</v>
      </c>
    </row>
    <row r="11" spans="1:24" x14ac:dyDescent="0.3">
      <c r="J11" s="4" t="s">
        <v>14</v>
      </c>
      <c r="K11" s="1">
        <f>COUNT(Gsalary)</f>
        <v>9</v>
      </c>
    </row>
    <row r="12" spans="1:24" x14ac:dyDescent="0.3">
      <c r="J12" s="4" t="s">
        <v>17</v>
      </c>
      <c r="K12" s="1">
        <f>COUNTA(Gsalary)</f>
        <v>10</v>
      </c>
    </row>
    <row r="14" spans="1:24" x14ac:dyDescent="0.3">
      <c r="J14" s="4" t="s">
        <v>15</v>
      </c>
      <c r="K14" s="4" t="s">
        <v>16</v>
      </c>
    </row>
    <row r="15" spans="1:24" x14ac:dyDescent="0.3">
      <c r="J15" s="1">
        <v>1</v>
      </c>
      <c r="K15" s="1">
        <v>1000</v>
      </c>
    </row>
    <row r="16" spans="1:24" x14ac:dyDescent="0.3">
      <c r="J16" s="1">
        <v>2</v>
      </c>
      <c r="K16" s="1">
        <v>2000</v>
      </c>
    </row>
    <row r="17" spans="10:11" x14ac:dyDescent="0.3">
      <c r="J17" s="1">
        <v>3</v>
      </c>
      <c r="K17" s="1">
        <v>3000</v>
      </c>
    </row>
    <row r="18" spans="10:11" x14ac:dyDescent="0.3">
      <c r="J18" s="1">
        <v>4</v>
      </c>
      <c r="K18" s="1">
        <v>4000</v>
      </c>
    </row>
    <row r="19" spans="10:11" x14ac:dyDescent="0.3">
      <c r="J19" s="1">
        <v>5</v>
      </c>
      <c r="K19" s="1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DDB5-B6EF-4E8A-BF2C-D0084CCC9F9F}">
  <dimension ref="A1:O33"/>
  <sheetViews>
    <sheetView tabSelected="1" workbookViewId="0">
      <selection activeCell="I7" sqref="I7"/>
    </sheetView>
  </sheetViews>
  <sheetFormatPr defaultRowHeight="14.4" x14ac:dyDescent="0.3"/>
  <cols>
    <col min="2" max="2" width="10" customWidth="1"/>
    <col min="4" max="4" width="13.77734375" customWidth="1"/>
    <col min="6" max="6" width="12.5546875" customWidth="1"/>
    <col min="13" max="13" width="10.5546875" customWidth="1"/>
  </cols>
  <sheetData>
    <row r="1" spans="1:15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15" x14ac:dyDescent="0.3">
      <c r="A2" t="s">
        <v>26</v>
      </c>
      <c r="B2" t="s">
        <v>30</v>
      </c>
      <c r="C2">
        <v>2022</v>
      </c>
      <c r="D2">
        <v>15000</v>
      </c>
      <c r="E2">
        <v>14000</v>
      </c>
      <c r="F2">
        <f>Table1[[#This Row],[Budget Sale]]-Table1[[#This Row],[Sale]]</f>
        <v>1000</v>
      </c>
    </row>
    <row r="3" spans="1:15" x14ac:dyDescent="0.3">
      <c r="A3" t="s">
        <v>26</v>
      </c>
      <c r="B3" t="s">
        <v>31</v>
      </c>
      <c r="C3">
        <v>2022</v>
      </c>
      <c r="D3">
        <v>16000</v>
      </c>
      <c r="E3">
        <v>15000</v>
      </c>
      <c r="F3">
        <f>Table1[[#This Row],[Budget Sale]]-Table1[[#This Row],[Sale]]</f>
        <v>1000</v>
      </c>
    </row>
    <row r="4" spans="1:15" x14ac:dyDescent="0.3">
      <c r="A4" t="s">
        <v>26</v>
      </c>
      <c r="B4" t="s">
        <v>32</v>
      </c>
      <c r="C4">
        <v>2022</v>
      </c>
      <c r="D4">
        <v>20000</v>
      </c>
      <c r="E4">
        <v>14900</v>
      </c>
      <c r="F4">
        <f>Table1[[#This Row],[Budget Sale]]-Table1[[#This Row],[Sale]]</f>
        <v>5100</v>
      </c>
      <c r="M4" s="4" t="s">
        <v>22</v>
      </c>
      <c r="N4" s="4" t="s">
        <v>21</v>
      </c>
      <c r="O4" s="4" t="s">
        <v>34</v>
      </c>
    </row>
    <row r="5" spans="1:15" x14ac:dyDescent="0.3">
      <c r="A5" t="s">
        <v>26</v>
      </c>
      <c r="B5" t="s">
        <v>33</v>
      </c>
      <c r="C5">
        <v>2022</v>
      </c>
      <c r="D5">
        <v>21000</v>
      </c>
      <c r="E5">
        <v>14200</v>
      </c>
      <c r="F5">
        <f>Table1[[#This Row],[Budget Sale]]-Table1[[#This Row],[Sale]]</f>
        <v>6800</v>
      </c>
      <c r="M5" s="1">
        <v>2021</v>
      </c>
      <c r="N5" s="1" t="s">
        <v>30</v>
      </c>
      <c r="O5" s="1">
        <f>_xlfn.MAXIFS(sales,Table1[year],M5,Table1[product],N5)</f>
        <v>15085.107142857099</v>
      </c>
    </row>
    <row r="6" spans="1:15" x14ac:dyDescent="0.3">
      <c r="A6" t="s">
        <v>27</v>
      </c>
      <c r="B6" t="s">
        <v>30</v>
      </c>
      <c r="C6">
        <v>2022</v>
      </c>
      <c r="D6">
        <v>20000</v>
      </c>
      <c r="E6">
        <v>14233</v>
      </c>
      <c r="F6">
        <f>Table1[[#This Row],[Budget Sale]]-Table1[[#This Row],[Sale]]</f>
        <v>5767</v>
      </c>
    </row>
    <row r="7" spans="1:15" x14ac:dyDescent="0.3">
      <c r="A7" t="s">
        <v>27</v>
      </c>
      <c r="B7" t="s">
        <v>31</v>
      </c>
      <c r="C7">
        <v>2022</v>
      </c>
      <c r="D7">
        <v>15000</v>
      </c>
      <c r="E7">
        <v>14422</v>
      </c>
      <c r="F7">
        <f>Table1[[#This Row],[Budget Sale]]-Table1[[#This Row],[Sale]]</f>
        <v>578</v>
      </c>
    </row>
    <row r="8" spans="1:15" x14ac:dyDescent="0.3">
      <c r="A8" t="s">
        <v>27</v>
      </c>
      <c r="B8" t="s">
        <v>32</v>
      </c>
      <c r="C8">
        <v>2022</v>
      </c>
      <c r="D8">
        <v>16000</v>
      </c>
      <c r="E8">
        <v>14822</v>
      </c>
      <c r="F8">
        <f>Table1[[#This Row],[Budget Sale]]-Table1[[#This Row],[Sale]]</f>
        <v>1178</v>
      </c>
      <c r="M8" s="4" t="s">
        <v>35</v>
      </c>
      <c r="O8" s="4" t="s">
        <v>36</v>
      </c>
    </row>
    <row r="9" spans="1:15" x14ac:dyDescent="0.3">
      <c r="A9" t="s">
        <v>27</v>
      </c>
      <c r="B9" t="s">
        <v>33</v>
      </c>
      <c r="C9">
        <v>2022</v>
      </c>
      <c r="D9">
        <v>14000</v>
      </c>
      <c r="E9">
        <v>14602.857142857099</v>
      </c>
      <c r="F9">
        <f>Table1[[#This Row],[Budget Sale]]-Table1[[#This Row],[Sale]]</f>
        <v>-602.85714285709946</v>
      </c>
      <c r="M9" s="1">
        <f>SUMIFS(sales,Table1[year],M5,Table1[product],N5)</f>
        <v>44979.75</v>
      </c>
      <c r="O9" s="1">
        <f>_xlfn.MINIFS(sales,Table1[year],M5,Table1[product],N5)</f>
        <v>14901.392857142901</v>
      </c>
    </row>
    <row r="10" spans="1:15" x14ac:dyDescent="0.3">
      <c r="A10" t="s">
        <v>27</v>
      </c>
      <c r="B10" t="s">
        <v>30</v>
      </c>
      <c r="C10">
        <v>2022</v>
      </c>
      <c r="D10">
        <v>17000</v>
      </c>
      <c r="E10">
        <v>14625.8214285714</v>
      </c>
      <c r="F10">
        <f>Table1[[#This Row],[Budget Sale]]-Table1[[#This Row],[Sale]]</f>
        <v>2374.1785714285998</v>
      </c>
    </row>
    <row r="11" spans="1:15" x14ac:dyDescent="0.3">
      <c r="A11" t="s">
        <v>28</v>
      </c>
      <c r="B11" t="s">
        <v>31</v>
      </c>
      <c r="C11">
        <v>2022</v>
      </c>
      <c r="D11">
        <v>12000</v>
      </c>
      <c r="E11">
        <v>14648.785714285699</v>
      </c>
      <c r="F11">
        <f>Table1[[#This Row],[Budget Sale]]-Table1[[#This Row],[Sale]]</f>
        <v>-2648.7857142856992</v>
      </c>
      <c r="M11" s="4" t="s">
        <v>37</v>
      </c>
      <c r="O11" s="5" t="s">
        <v>38</v>
      </c>
    </row>
    <row r="12" spans="1:15" x14ac:dyDescent="0.3">
      <c r="A12" t="s">
        <v>28</v>
      </c>
      <c r="B12" t="s">
        <v>32</v>
      </c>
      <c r="C12">
        <v>2022</v>
      </c>
      <c r="D12">
        <v>14000</v>
      </c>
      <c r="E12">
        <v>14671.75</v>
      </c>
      <c r="F12">
        <f>Table1[[#This Row],[Budget Sale]]-Table1[[#This Row],[Sale]]</f>
        <v>-671.75</v>
      </c>
      <c r="M12" s="1">
        <f>COUNTIFS(Table1[year],M5,Table1[product],N5)</f>
        <v>3</v>
      </c>
      <c r="O12" s="6">
        <f>AVERAGEIFS(sales,Table1[year],M5,Table1[product],N5)</f>
        <v>14993.25</v>
      </c>
    </row>
    <row r="13" spans="1:15" x14ac:dyDescent="0.3">
      <c r="A13" t="s">
        <v>28</v>
      </c>
      <c r="B13" t="s">
        <v>33</v>
      </c>
      <c r="C13">
        <v>2022</v>
      </c>
      <c r="D13">
        <v>20000</v>
      </c>
      <c r="E13">
        <v>14694.714285714301</v>
      </c>
      <c r="F13">
        <f>Table1[[#This Row],[Budget Sale]]-Table1[[#This Row],[Sale]]</f>
        <v>5305.2857142856992</v>
      </c>
    </row>
    <row r="14" spans="1:15" x14ac:dyDescent="0.3">
      <c r="A14" t="s">
        <v>28</v>
      </c>
      <c r="B14" t="s">
        <v>30</v>
      </c>
      <c r="C14">
        <v>2022</v>
      </c>
      <c r="D14">
        <v>18100</v>
      </c>
      <c r="E14">
        <v>14717.6785714286</v>
      </c>
      <c r="F14">
        <f>Table1[[#This Row],[Budget Sale]]-Table1[[#This Row],[Sale]]</f>
        <v>3382.3214285714002</v>
      </c>
    </row>
    <row r="15" spans="1:15" x14ac:dyDescent="0.3">
      <c r="A15" t="s">
        <v>28</v>
      </c>
      <c r="B15" t="s">
        <v>31</v>
      </c>
      <c r="C15">
        <v>2022</v>
      </c>
      <c r="D15">
        <v>19000</v>
      </c>
      <c r="E15">
        <v>14740.642857142901</v>
      </c>
      <c r="F15">
        <f>Table1[[#This Row],[Budget Sale]]-Table1[[#This Row],[Sale]]</f>
        <v>4259.3571428570995</v>
      </c>
    </row>
    <row r="16" spans="1:15" x14ac:dyDescent="0.3">
      <c r="A16" t="s">
        <v>28</v>
      </c>
      <c r="B16" t="s">
        <v>32</v>
      </c>
      <c r="C16">
        <v>2022</v>
      </c>
      <c r="D16">
        <v>19900</v>
      </c>
      <c r="E16">
        <v>14763.607142857099</v>
      </c>
      <c r="F16">
        <f>Table1[[#This Row],[Budget Sale]]-Table1[[#This Row],[Sale]]</f>
        <v>5136.3928571429005</v>
      </c>
    </row>
    <row r="17" spans="1:6" x14ac:dyDescent="0.3">
      <c r="A17" t="s">
        <v>29</v>
      </c>
      <c r="B17" t="s">
        <v>33</v>
      </c>
      <c r="C17">
        <v>2022</v>
      </c>
      <c r="D17">
        <v>20800</v>
      </c>
      <c r="E17">
        <v>14786.5714285714</v>
      </c>
      <c r="F17">
        <f>Table1[[#This Row],[Budget Sale]]-Table1[[#This Row],[Sale]]</f>
        <v>6013.4285714285998</v>
      </c>
    </row>
    <row r="18" spans="1:6" x14ac:dyDescent="0.3">
      <c r="A18" t="s">
        <v>29</v>
      </c>
      <c r="B18" t="s">
        <v>30</v>
      </c>
      <c r="C18">
        <v>2022</v>
      </c>
      <c r="D18">
        <v>21700</v>
      </c>
      <c r="E18">
        <v>14809.535714285699</v>
      </c>
      <c r="F18">
        <f>Table1[[#This Row],[Budget Sale]]-Table1[[#This Row],[Sale]]</f>
        <v>6890.4642857143008</v>
      </c>
    </row>
    <row r="19" spans="1:6" x14ac:dyDescent="0.3">
      <c r="A19" t="s">
        <v>29</v>
      </c>
      <c r="B19" t="s">
        <v>31</v>
      </c>
      <c r="C19">
        <v>2021</v>
      </c>
      <c r="D19">
        <v>22600</v>
      </c>
      <c r="E19">
        <v>14832.5</v>
      </c>
      <c r="F19">
        <f>Table1[[#This Row],[Budget Sale]]-Table1[[#This Row],[Sale]]</f>
        <v>7767.5</v>
      </c>
    </row>
    <row r="20" spans="1:6" x14ac:dyDescent="0.3">
      <c r="A20" t="s">
        <v>29</v>
      </c>
      <c r="B20" t="s">
        <v>32</v>
      </c>
      <c r="C20">
        <v>2021</v>
      </c>
      <c r="D20">
        <v>23500</v>
      </c>
      <c r="E20">
        <v>14855.464285714301</v>
      </c>
      <c r="F20">
        <f>Table1[[#This Row],[Budget Sale]]-Table1[[#This Row],[Sale]]</f>
        <v>8644.5357142856992</v>
      </c>
    </row>
    <row r="21" spans="1:6" x14ac:dyDescent="0.3">
      <c r="A21" t="s">
        <v>29</v>
      </c>
      <c r="B21" t="s">
        <v>33</v>
      </c>
      <c r="C21">
        <v>2021</v>
      </c>
      <c r="D21">
        <v>24400</v>
      </c>
      <c r="E21">
        <v>14878.4285714286</v>
      </c>
      <c r="F21">
        <f>Table1[[#This Row],[Budget Sale]]-Table1[[#This Row],[Sale]]</f>
        <v>9521.5714285714002</v>
      </c>
    </row>
    <row r="22" spans="1:6" x14ac:dyDescent="0.3">
      <c r="A22" t="s">
        <v>29</v>
      </c>
      <c r="B22" t="s">
        <v>30</v>
      </c>
      <c r="C22">
        <v>2021</v>
      </c>
      <c r="D22">
        <v>25300</v>
      </c>
      <c r="E22">
        <v>14901.392857142901</v>
      </c>
      <c r="F22">
        <f>Table1[[#This Row],[Budget Sale]]-Table1[[#This Row],[Sale]]</f>
        <v>10398.607142857099</v>
      </c>
    </row>
    <row r="23" spans="1:6" x14ac:dyDescent="0.3">
      <c r="A23" t="s">
        <v>29</v>
      </c>
      <c r="B23" t="s">
        <v>31</v>
      </c>
      <c r="C23">
        <v>2021</v>
      </c>
      <c r="D23">
        <v>26200</v>
      </c>
      <c r="E23">
        <v>14924.357142857099</v>
      </c>
      <c r="F23">
        <f>Table1[[#This Row],[Budget Sale]]-Table1[[#This Row],[Sale]]</f>
        <v>11275.642857142901</v>
      </c>
    </row>
    <row r="24" spans="1:6" x14ac:dyDescent="0.3">
      <c r="A24" t="s">
        <v>29</v>
      </c>
      <c r="B24" t="s">
        <v>32</v>
      </c>
      <c r="C24">
        <v>2021</v>
      </c>
      <c r="D24">
        <v>27100</v>
      </c>
      <c r="E24">
        <v>14947.3214285714</v>
      </c>
      <c r="F24">
        <f>Table1[[#This Row],[Budget Sale]]-Table1[[#This Row],[Sale]]</f>
        <v>12152.6785714286</v>
      </c>
    </row>
    <row r="25" spans="1:6" x14ac:dyDescent="0.3">
      <c r="A25" t="s">
        <v>29</v>
      </c>
      <c r="B25" t="s">
        <v>33</v>
      </c>
      <c r="C25">
        <v>2021</v>
      </c>
      <c r="D25">
        <v>28000</v>
      </c>
      <c r="E25">
        <v>14970.285714285699</v>
      </c>
      <c r="F25">
        <f>Table1[[#This Row],[Budget Sale]]-Table1[[#This Row],[Sale]]</f>
        <v>13029.714285714301</v>
      </c>
    </row>
    <row r="26" spans="1:6" x14ac:dyDescent="0.3">
      <c r="A26" t="s">
        <v>28</v>
      </c>
      <c r="B26" t="s">
        <v>30</v>
      </c>
      <c r="C26">
        <v>2021</v>
      </c>
      <c r="D26">
        <v>28900</v>
      </c>
      <c r="E26">
        <v>14993.25</v>
      </c>
      <c r="F26">
        <f>Table1[[#This Row],[Budget Sale]]-Table1[[#This Row],[Sale]]</f>
        <v>13906.75</v>
      </c>
    </row>
    <row r="27" spans="1:6" x14ac:dyDescent="0.3">
      <c r="A27" t="s">
        <v>28</v>
      </c>
      <c r="B27" t="s">
        <v>31</v>
      </c>
      <c r="C27">
        <v>2021</v>
      </c>
      <c r="D27">
        <v>29800</v>
      </c>
      <c r="E27">
        <v>15016.214285714301</v>
      </c>
      <c r="F27">
        <f>Table1[[#This Row],[Budget Sale]]-Table1[[#This Row],[Sale]]</f>
        <v>14783.785714285699</v>
      </c>
    </row>
    <row r="28" spans="1:6" x14ac:dyDescent="0.3">
      <c r="A28" t="s">
        <v>29</v>
      </c>
      <c r="B28" t="s">
        <v>32</v>
      </c>
      <c r="C28">
        <v>2021</v>
      </c>
      <c r="D28">
        <v>30700</v>
      </c>
      <c r="E28">
        <v>15039.1785714286</v>
      </c>
      <c r="F28">
        <f>Table1[[#This Row],[Budget Sale]]-Table1[[#This Row],[Sale]]</f>
        <v>15660.8214285714</v>
      </c>
    </row>
    <row r="29" spans="1:6" x14ac:dyDescent="0.3">
      <c r="A29" t="s">
        <v>29</v>
      </c>
      <c r="B29" t="s">
        <v>33</v>
      </c>
      <c r="C29">
        <v>2021</v>
      </c>
      <c r="D29">
        <v>31600</v>
      </c>
      <c r="E29">
        <v>15062.142857142901</v>
      </c>
      <c r="F29">
        <f>Table1[[#This Row],[Budget Sale]]-Table1[[#This Row],[Sale]]</f>
        <v>16537.857142857101</v>
      </c>
    </row>
    <row r="30" spans="1:6" x14ac:dyDescent="0.3">
      <c r="A30" t="s">
        <v>27</v>
      </c>
      <c r="B30" t="s">
        <v>30</v>
      </c>
      <c r="C30">
        <v>2021</v>
      </c>
      <c r="D30">
        <v>32500</v>
      </c>
      <c r="E30">
        <v>15085.107142857099</v>
      </c>
      <c r="F30">
        <f>Table1[[#This Row],[Budget Sale]]-Table1[[#This Row],[Sale]]</f>
        <v>17414.892857142899</v>
      </c>
    </row>
    <row r="31" spans="1:6" x14ac:dyDescent="0.3">
      <c r="A31" t="s">
        <v>27</v>
      </c>
      <c r="B31" t="s">
        <v>31</v>
      </c>
      <c r="C31">
        <v>2021</v>
      </c>
      <c r="D31">
        <v>33400</v>
      </c>
      <c r="E31">
        <v>15108.0714285714</v>
      </c>
      <c r="F31">
        <f>Table1[[#This Row],[Budget Sale]]-Table1[[#This Row],[Sale]]</f>
        <v>18291.928571428602</v>
      </c>
    </row>
    <row r="32" spans="1:6" x14ac:dyDescent="0.3">
      <c r="A32" t="s">
        <v>26</v>
      </c>
      <c r="B32" t="s">
        <v>32</v>
      </c>
      <c r="C32">
        <v>2021</v>
      </c>
      <c r="D32">
        <v>34300</v>
      </c>
      <c r="E32">
        <v>15131.035714285699</v>
      </c>
      <c r="F32">
        <f>Table1[[#This Row],[Budget Sale]]-Table1[[#This Row],[Sale]]</f>
        <v>19168.964285714301</v>
      </c>
    </row>
    <row r="33" spans="1:6" x14ac:dyDescent="0.3">
      <c r="A33" t="s">
        <v>26</v>
      </c>
      <c r="B33" t="s">
        <v>33</v>
      </c>
      <c r="C33">
        <v>2021</v>
      </c>
      <c r="D33">
        <v>35200</v>
      </c>
      <c r="E33">
        <v>15154</v>
      </c>
      <c r="F33">
        <f>Table1[[#This Row],[Budget Sale]]-Table1[[#This Row],[Sale]]</f>
        <v>20046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budget</vt:lpstr>
      <vt:lpstr>Gsalary</vt:lpstr>
      <vt:lpstr>sales</vt:lpstr>
      <vt:lpstr>soh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Kaif Chougule</dc:creator>
  <cp:lastModifiedBy>ABDULLAH SHAIKH</cp:lastModifiedBy>
  <dcterms:created xsi:type="dcterms:W3CDTF">2025-11-18T08:28:46Z</dcterms:created>
  <dcterms:modified xsi:type="dcterms:W3CDTF">2025-11-22T17:53:43Z</dcterms:modified>
</cp:coreProperties>
</file>