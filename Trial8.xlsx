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LAH\Desktop\ABDULLAH\DATA SCIENCE\EXCEL\PRACTICAL\TRIAL\"/>
    </mc:Choice>
  </mc:AlternateContent>
  <xr:revisionPtr revIDLastSave="0" documentId="8_{1F9A31FC-959B-45A1-B7CC-51404E223C9F}" xr6:coauthVersionLast="47" xr6:coauthVersionMax="47" xr10:uidLastSave="{00000000-0000-0000-0000-000000000000}"/>
  <bookViews>
    <workbookView xWindow="-108" yWindow="-108" windowWidth="23256" windowHeight="12456" firstSheet="1" activeTab="4" xr2:uid="{18A75A62-112A-425B-9B80-021A98541986}"/>
  </bookViews>
  <sheets>
    <sheet name="MID ,FIND" sheetId="1" r:id="rId1"/>
    <sheet name="TEXT" sheetId="2" r:id="rId2"/>
    <sheet name="DATA VALIDATION ,V LOOKUP" sheetId="3" r:id="rId3"/>
    <sheet name="CONDITIONAL FORMATING" sheetId="5" r:id="rId4"/>
    <sheet name="CUSTOM FORMATTING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5" l="1"/>
  <c r="K31" i="5"/>
  <c r="J31" i="5"/>
  <c r="I31" i="5"/>
  <c r="M31" i="5" s="1"/>
  <c r="L30" i="5"/>
  <c r="K30" i="5"/>
  <c r="J30" i="5"/>
  <c r="I30" i="5"/>
  <c r="M30" i="5" s="1"/>
  <c r="L29" i="5"/>
  <c r="K29" i="5"/>
  <c r="J29" i="5"/>
  <c r="I29" i="5"/>
  <c r="M29" i="5" s="1"/>
  <c r="M28" i="5"/>
  <c r="L28" i="5"/>
  <c r="K28" i="5"/>
  <c r="J28" i="5"/>
  <c r="I28" i="5"/>
  <c r="M27" i="5"/>
  <c r="L27" i="5"/>
  <c r="K27" i="5"/>
  <c r="J27" i="5"/>
  <c r="I27" i="5"/>
  <c r="L26" i="5"/>
  <c r="K26" i="5"/>
  <c r="J26" i="5"/>
  <c r="I26" i="5"/>
  <c r="M26" i="5" s="1"/>
  <c r="M25" i="5"/>
  <c r="L25" i="5"/>
  <c r="K25" i="5"/>
  <c r="J25" i="5"/>
  <c r="I25" i="5"/>
  <c r="L24" i="5"/>
  <c r="K24" i="5"/>
  <c r="J24" i="5"/>
  <c r="I24" i="5"/>
  <c r="M24" i="5" s="1"/>
  <c r="L23" i="5"/>
  <c r="K23" i="5"/>
  <c r="J23" i="5"/>
  <c r="I23" i="5"/>
  <c r="M23" i="5" s="1"/>
  <c r="M22" i="5"/>
  <c r="L22" i="5"/>
  <c r="K22" i="5"/>
  <c r="J22" i="5"/>
  <c r="I22" i="5"/>
  <c r="L21" i="5"/>
  <c r="K21" i="5"/>
  <c r="J21" i="5"/>
  <c r="I21" i="5"/>
  <c r="M21" i="5" s="1"/>
  <c r="M20" i="5"/>
  <c r="L20" i="5"/>
  <c r="K20" i="5"/>
  <c r="J20" i="5"/>
  <c r="I20" i="5"/>
  <c r="M19" i="5"/>
  <c r="L19" i="5"/>
  <c r="K19" i="5"/>
  <c r="J19" i="5"/>
  <c r="I19" i="5"/>
  <c r="L18" i="5"/>
  <c r="K18" i="5"/>
  <c r="J18" i="5"/>
  <c r="I18" i="5"/>
  <c r="M18" i="5" s="1"/>
  <c r="M17" i="5"/>
  <c r="L17" i="5"/>
  <c r="K17" i="5"/>
  <c r="J17" i="5"/>
  <c r="I17" i="5"/>
  <c r="L16" i="5"/>
  <c r="K16" i="5"/>
  <c r="J16" i="5"/>
  <c r="I16" i="5"/>
  <c r="M16" i="5" s="1"/>
  <c r="L15" i="5"/>
  <c r="K15" i="5"/>
  <c r="J15" i="5"/>
  <c r="I15" i="5"/>
  <c r="M15" i="5" s="1"/>
  <c r="M14" i="5"/>
  <c r="L14" i="5"/>
  <c r="K14" i="5"/>
  <c r="J14" i="5"/>
  <c r="I14" i="5"/>
  <c r="L13" i="5"/>
  <c r="K13" i="5"/>
  <c r="J13" i="5"/>
  <c r="I13" i="5"/>
  <c r="M13" i="5" s="1"/>
  <c r="M12" i="5"/>
  <c r="L12" i="5"/>
  <c r="K12" i="5"/>
  <c r="J12" i="5"/>
  <c r="I12" i="5"/>
  <c r="M11" i="5"/>
  <c r="L11" i="5"/>
  <c r="K11" i="5"/>
  <c r="J11" i="5"/>
  <c r="I11" i="5"/>
  <c r="L10" i="5"/>
  <c r="K10" i="5"/>
  <c r="J10" i="5"/>
  <c r="I10" i="5"/>
  <c r="M10" i="5" s="1"/>
  <c r="M9" i="5"/>
  <c r="L9" i="5"/>
  <c r="K9" i="5"/>
  <c r="J9" i="5"/>
  <c r="I9" i="5"/>
  <c r="L8" i="5"/>
  <c r="K8" i="5"/>
  <c r="J8" i="5"/>
  <c r="I8" i="5"/>
  <c r="M8" i="5" s="1"/>
  <c r="L7" i="5"/>
  <c r="K7" i="5"/>
  <c r="J7" i="5"/>
  <c r="I7" i="5"/>
  <c r="M7" i="5" s="1"/>
  <c r="M6" i="5"/>
  <c r="L6" i="5"/>
  <c r="K6" i="5"/>
  <c r="J6" i="5"/>
  <c r="I6" i="5"/>
  <c r="L5" i="5"/>
  <c r="K5" i="5"/>
  <c r="J5" i="5"/>
  <c r="I5" i="5"/>
  <c r="M5" i="5" s="1"/>
  <c r="M4" i="5"/>
  <c r="L4" i="5"/>
  <c r="K4" i="5"/>
  <c r="J4" i="5"/>
  <c r="I4" i="5"/>
  <c r="M3" i="5"/>
  <c r="L3" i="5"/>
  <c r="K3" i="5"/>
  <c r="J3" i="5"/>
  <c r="I3" i="5"/>
  <c r="L2" i="5"/>
  <c r="K2" i="5"/>
  <c r="J2" i="5"/>
  <c r="I2" i="5"/>
  <c r="M2" i="5" s="1"/>
  <c r="N3" i="3"/>
  <c r="M3" i="3"/>
  <c r="L3" i="3"/>
  <c r="K3" i="3"/>
  <c r="J3" i="3"/>
  <c r="I3" i="3"/>
  <c r="H3" i="3"/>
  <c r="G3" i="3"/>
  <c r="F3" i="3"/>
  <c r="E3" i="3"/>
  <c r="D3" i="3"/>
  <c r="C3" i="3"/>
  <c r="M35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L6" i="3"/>
  <c r="K6" i="3"/>
  <c r="J6" i="3"/>
  <c r="I7" i="3"/>
  <c r="M7" i="3" s="1"/>
  <c r="I8" i="3"/>
  <c r="M8" i="3" s="1"/>
  <c r="I9" i="3"/>
  <c r="M9" i="3" s="1"/>
  <c r="I10" i="3"/>
  <c r="M10" i="3" s="1"/>
  <c r="I11" i="3"/>
  <c r="M11" i="3" s="1"/>
  <c r="I12" i="3"/>
  <c r="M12" i="3" s="1"/>
  <c r="I13" i="3"/>
  <c r="M13" i="3" s="1"/>
  <c r="I14" i="3"/>
  <c r="M14" i="3" s="1"/>
  <c r="I15" i="3"/>
  <c r="M15" i="3" s="1"/>
  <c r="I16" i="3"/>
  <c r="M16" i="3" s="1"/>
  <c r="I17" i="3"/>
  <c r="M17" i="3" s="1"/>
  <c r="I18" i="3"/>
  <c r="M18" i="3" s="1"/>
  <c r="I19" i="3"/>
  <c r="M19" i="3" s="1"/>
  <c r="I20" i="3"/>
  <c r="M20" i="3" s="1"/>
  <c r="I21" i="3"/>
  <c r="M21" i="3" s="1"/>
  <c r="I22" i="3"/>
  <c r="M22" i="3" s="1"/>
  <c r="I23" i="3"/>
  <c r="M23" i="3" s="1"/>
  <c r="I24" i="3"/>
  <c r="M24" i="3" s="1"/>
  <c r="I25" i="3"/>
  <c r="M25" i="3" s="1"/>
  <c r="I26" i="3"/>
  <c r="M26" i="3" s="1"/>
  <c r="I27" i="3"/>
  <c r="M27" i="3" s="1"/>
  <c r="I28" i="3"/>
  <c r="M28" i="3" s="1"/>
  <c r="I29" i="3"/>
  <c r="M29" i="3" s="1"/>
  <c r="I30" i="3"/>
  <c r="M30" i="3" s="1"/>
  <c r="I31" i="3"/>
  <c r="M31" i="3" s="1"/>
  <c r="I32" i="3"/>
  <c r="M32" i="3" s="1"/>
  <c r="I33" i="3"/>
  <c r="M33" i="3" s="1"/>
  <c r="I34" i="3"/>
  <c r="M34" i="3" s="1"/>
  <c r="I35" i="3"/>
  <c r="I6" i="3"/>
  <c r="M6" i="3" s="1"/>
  <c r="B3" i="2"/>
  <c r="C4" i="2" s="1"/>
  <c r="B4" i="2"/>
  <c r="C5" i="2" s="1"/>
  <c r="B5" i="2"/>
  <c r="C6" i="2" s="1"/>
  <c r="B6" i="2"/>
  <c r="C7" i="2" s="1"/>
  <c r="B7" i="2"/>
  <c r="C8" i="2" s="1"/>
  <c r="B8" i="2"/>
  <c r="C9" i="2" s="1"/>
  <c r="B9" i="2"/>
  <c r="C10" i="2" s="1"/>
  <c r="B10" i="2"/>
  <c r="C11" i="2" s="1"/>
  <c r="B11" i="2"/>
  <c r="B2" i="2"/>
  <c r="C3" i="2" s="1"/>
  <c r="C3" i="1"/>
  <c r="C4" i="1"/>
  <c r="C5" i="1"/>
  <c r="C6" i="1"/>
  <c r="C7" i="1"/>
  <c r="C8" i="1"/>
  <c r="C9" i="1"/>
  <c r="C10" i="1"/>
  <c r="C11" i="1"/>
  <c r="C12" i="1"/>
  <c r="C13" i="1"/>
  <c r="C2" i="1"/>
  <c r="B3" i="1"/>
  <c r="B4" i="1"/>
  <c r="B5" i="1"/>
  <c r="B6" i="1"/>
  <c r="B7" i="1"/>
  <c r="B8" i="1"/>
  <c r="B9" i="1"/>
  <c r="B10" i="1"/>
  <c r="B11" i="1"/>
  <c r="B12" i="1"/>
  <c r="B13" i="1"/>
  <c r="B2" i="1"/>
  <c r="C2" i="2" l="1"/>
</calcChain>
</file>

<file path=xl/sharedStrings.xml><?xml version="1.0" encoding="utf-8"?>
<sst xmlns="http://schemas.openxmlformats.org/spreadsheetml/2006/main" count="205" uniqueCount="84">
  <si>
    <t>DESCRIPTION</t>
  </si>
  <si>
    <t>EXTRACT CITY</t>
  </si>
  <si>
    <t>AMAN\PATNA:415520</t>
  </si>
  <si>
    <t>ASIF\PATNA:887420</t>
  </si>
  <si>
    <t>ALPHABET COUNT</t>
  </si>
  <si>
    <t>AMIT\PATNA:210012</t>
  </si>
  <si>
    <t>SUNY\PATNA:321540</t>
  </si>
  <si>
    <t>RAVI\DELHI:1020456</t>
  </si>
  <si>
    <t>SUMI\DELHI:114560</t>
  </si>
  <si>
    <t>ANAS\SURAT:815470</t>
  </si>
  <si>
    <t>ANIS\DELHI:501240</t>
  </si>
  <si>
    <t>VASU\DELHI:805044</t>
  </si>
  <si>
    <t>TAVI\DELHI:6555540</t>
  </si>
  <si>
    <t>IFRA\DELHI:509071</t>
  </si>
  <si>
    <t>RAVI\SIWAN:6554410</t>
  </si>
  <si>
    <t>NUMBERS</t>
  </si>
  <si>
    <t>SR.NO</t>
  </si>
  <si>
    <t>PERCENTAGE</t>
  </si>
  <si>
    <t>NAME</t>
  </si>
  <si>
    <t>ENGLISH</t>
  </si>
  <si>
    <t>HINDI</t>
  </si>
  <si>
    <t>PHYSICS</t>
  </si>
  <si>
    <t>CHEMISTRY</t>
  </si>
  <si>
    <t>BIOLOGY</t>
  </si>
  <si>
    <t>ANAS</t>
  </si>
  <si>
    <t>SOHAM</t>
  </si>
  <si>
    <t>ABDULLAH</t>
  </si>
  <si>
    <t>HAMZAH</t>
  </si>
  <si>
    <t>HANZALA</t>
  </si>
  <si>
    <t>FARHAN</t>
  </si>
  <si>
    <t>SAIF</t>
  </si>
  <si>
    <t>KAREEM</t>
  </si>
  <si>
    <t>ABDUL</t>
  </si>
  <si>
    <t>ARMAAN</t>
  </si>
  <si>
    <t>SAQIB</t>
  </si>
  <si>
    <t>SACHIT</t>
  </si>
  <si>
    <t>ANIKET</t>
  </si>
  <si>
    <t>ADITYA</t>
  </si>
  <si>
    <t>KUNAL</t>
  </si>
  <si>
    <t>FAISAL</t>
  </si>
  <si>
    <t>SARFARZ</t>
  </si>
  <si>
    <t>KUNAL BERGE</t>
  </si>
  <si>
    <t>TANVI</t>
  </si>
  <si>
    <t>NIDHI</t>
  </si>
  <si>
    <t>ZEESHAN</t>
  </si>
  <si>
    <t>SAGAR</t>
  </si>
  <si>
    <t>VINAY</t>
  </si>
  <si>
    <t>ADARSH</t>
  </si>
  <si>
    <t>AYAAN</t>
  </si>
  <si>
    <t>AMAAN</t>
  </si>
  <si>
    <t>SHAFAT</t>
  </si>
  <si>
    <t>SAMEER</t>
  </si>
  <si>
    <t>NAVID</t>
  </si>
  <si>
    <t>TOTAL</t>
  </si>
  <si>
    <t>MARKS OBTAINED</t>
  </si>
  <si>
    <t>MAXIMUM</t>
  </si>
  <si>
    <t>AVERAGE</t>
  </si>
  <si>
    <t>MINIMUM</t>
  </si>
  <si>
    <t>GRADE</t>
  </si>
  <si>
    <t>A</t>
  </si>
  <si>
    <t>B</t>
  </si>
  <si>
    <t>C</t>
  </si>
  <si>
    <t>D</t>
  </si>
  <si>
    <t>E</t>
  </si>
  <si>
    <t>F</t>
  </si>
  <si>
    <t>PHYSISCS</t>
  </si>
  <si>
    <t>MARKSOBTAINED</t>
  </si>
  <si>
    <t>LEGEND</t>
  </si>
  <si>
    <t>QUANTITY</t>
  </si>
  <si>
    <t>EXPERT</t>
  </si>
  <si>
    <t>BEGINNER</t>
  </si>
  <si>
    <t>55 KG</t>
  </si>
  <si>
    <t>66 KG</t>
  </si>
  <si>
    <t>77 KG</t>
  </si>
  <si>
    <t>88 KG</t>
  </si>
  <si>
    <t>99 KG</t>
  </si>
  <si>
    <t>100 KG</t>
  </si>
  <si>
    <t>12 KG</t>
  </si>
  <si>
    <t>33 KG</t>
  </si>
  <si>
    <t>44 KG</t>
  </si>
  <si>
    <t>22 KG</t>
  </si>
  <si>
    <t>11 KG</t>
  </si>
  <si>
    <t>10 KG</t>
  </si>
  <si>
    <t>9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</si>
</sst>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General&quot; KG&quot;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6" borderId="1" xfId="0" applyFill="1" applyBorder="1"/>
    <xf numFmtId="0" fontId="0" fillId="5" borderId="1" xfId="0" applyFont="1" applyFill="1" applyBorder="1"/>
    <xf numFmtId="0" fontId="0" fillId="6" borderId="1" xfId="0" applyFont="1" applyFill="1" applyBorder="1"/>
    <xf numFmtId="0" fontId="0" fillId="7" borderId="1" xfId="0" applyFont="1" applyFill="1" applyBorder="1"/>
    <xf numFmtId="0" fontId="1" fillId="9" borderId="1" xfId="0" applyFont="1" applyFill="1" applyBorder="1"/>
    <xf numFmtId="0" fontId="1" fillId="8" borderId="1" xfId="0" applyFont="1" applyFill="1" applyBorder="1"/>
    <xf numFmtId="0" fontId="0" fillId="5" borderId="4" xfId="0" applyFont="1" applyFill="1" applyBorder="1"/>
    <xf numFmtId="0" fontId="0" fillId="5" borderId="5" xfId="0" applyFont="1" applyFill="1" applyBorder="1"/>
    <xf numFmtId="0" fontId="0" fillId="7" borderId="6" xfId="0" applyFont="1" applyFill="1" applyBorder="1"/>
    <xf numFmtId="0" fontId="0" fillId="10" borderId="2" xfId="0" applyFont="1" applyFill="1" applyBorder="1"/>
    <xf numFmtId="0" fontId="0" fillId="10" borderId="1" xfId="0" applyFont="1" applyFill="1" applyBorder="1"/>
    <xf numFmtId="0" fontId="0" fillId="10" borderId="3" xfId="0" applyFill="1" applyBorder="1"/>
    <xf numFmtId="0" fontId="0" fillId="10" borderId="7" xfId="0" applyFont="1" applyFill="1" applyBorder="1"/>
    <xf numFmtId="0" fontId="0" fillId="10" borderId="8" xfId="0" applyFont="1" applyFill="1" applyBorder="1"/>
    <xf numFmtId="0" fontId="0" fillId="10" borderId="9" xfId="0" applyFill="1" applyBorder="1"/>
    <xf numFmtId="0" fontId="3" fillId="13" borderId="1" xfId="0" applyFont="1" applyFill="1" applyBorder="1"/>
    <xf numFmtId="0" fontId="0" fillId="14" borderId="1" xfId="0" applyFill="1" applyBorder="1"/>
    <xf numFmtId="0" fontId="0" fillId="15" borderId="1" xfId="0" applyFill="1" applyBorder="1"/>
    <xf numFmtId="0" fontId="0" fillId="12" borderId="1" xfId="0" applyFill="1" applyBorder="1"/>
    <xf numFmtId="0" fontId="0" fillId="16" borderId="1" xfId="0" applyFill="1" applyBorder="1"/>
    <xf numFmtId="0" fontId="0" fillId="11" borderId="1" xfId="0" applyFill="1" applyBorder="1" applyAlignment="1">
      <alignment horizontal="center"/>
    </xf>
    <xf numFmtId="0" fontId="1" fillId="17" borderId="1" xfId="0" applyFont="1" applyFill="1" applyBorder="1"/>
    <xf numFmtId="0" fontId="1" fillId="17" borderId="3" xfId="0" applyFont="1" applyFill="1" applyBorder="1"/>
    <xf numFmtId="165" fontId="0" fillId="5" borderId="3" xfId="0" applyNumberFormat="1" applyFont="1" applyFill="1" applyBorder="1"/>
    <xf numFmtId="0" fontId="0" fillId="5" borderId="1" xfId="0" applyNumberFormat="1" applyFill="1" applyBorder="1"/>
  </cellXfs>
  <cellStyles count="1">
    <cellStyle name="Normal" xfId="0" builtinId="0"/>
  </cellStyles>
  <dxfs count="97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5"/>
      </font>
      <fill>
        <patternFill>
          <bgColor theme="0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3DCBF-987B-431C-B6B3-101E9BC3A85E}" name="Table13" displayName="Table13" ref="A1:N31" totalsRowShown="0" headerRowDxfId="96" dataDxfId="95" headerRowBorderDxfId="93" tableBorderDxfId="94" totalsRowBorderDxfId="92">
  <autoFilter ref="A1:N31" xr:uid="{8BA3DCBF-987B-431C-B6B3-101E9BC3A85E}"/>
  <tableColumns count="14">
    <tableColumn id="1" xr3:uid="{C43EB9FB-3DC5-432C-91F3-E40A46FC38BF}" name="SR.NO" dataDxfId="91"/>
    <tableColumn id="2" xr3:uid="{820CAC0A-20CC-41D1-A93E-86E9C1ECDF84}" name="NAME" dataDxfId="90"/>
    <tableColumn id="3" xr3:uid="{4B96E7B9-2F44-4DDB-ABE4-04436236512A}" name="ENGLISH" dataDxfId="89"/>
    <tableColumn id="4" xr3:uid="{34729DB7-4D5A-44FC-BA25-5248080A6AD5}" name="HINDI" dataDxfId="88"/>
    <tableColumn id="5" xr3:uid="{F3A09E81-34A4-4483-AE39-D001067C4D5A}" name="PHYSICS" dataDxfId="87"/>
    <tableColumn id="6" xr3:uid="{2BCFB7A4-6363-4502-9E8C-91C3E5738CAE}" name="CHEMISTRY" dataDxfId="86"/>
    <tableColumn id="7" xr3:uid="{B26573AF-4E4C-4839-96BE-A568EBB204B4}" name="BIOLOGY" dataDxfId="85"/>
    <tableColumn id="8" xr3:uid="{E88E18DB-645E-441D-AC7A-BDDC20AC8465}" name="TOTAL" dataDxfId="84"/>
    <tableColumn id="9" xr3:uid="{55A2EB8F-9657-467A-8C38-A3016CA60DF4}" name="MARKS OBTAINED" dataDxfId="83">
      <calculatedColumnFormula>SUM(C2:G2)</calculatedColumnFormula>
    </tableColumn>
    <tableColumn id="10" xr3:uid="{CB06265A-9971-42BA-9CE5-670A38D18534}" name="MAXIMUM" dataDxfId="82">
      <calculatedColumnFormula>MAX(C2:G2)</calculatedColumnFormula>
    </tableColumn>
    <tableColumn id="11" xr3:uid="{35D4B4A1-3FA1-4133-AF81-C10A8193F314}" name="AVERAGE" dataDxfId="81">
      <calculatedColumnFormula>AVERAGE(C2:G2)</calculatedColumnFormula>
    </tableColumn>
    <tableColumn id="12" xr3:uid="{E82FA0FD-7C91-4E80-B729-D5E7A97E6627}" name="MINIMUM" dataDxfId="80">
      <calculatedColumnFormula>MIN(C2:G2)</calculatedColumnFormula>
    </tableColumn>
    <tableColumn id="13" xr3:uid="{68BBCCB9-CE3B-42BE-AE78-4C02097A08E8}" name="PERCENTAGE" dataDxfId="79">
      <calculatedColumnFormula>I2/H2*100</calculatedColumnFormula>
    </tableColumn>
    <tableColumn id="14" xr3:uid="{E35463F2-54F0-42E2-A795-E1ADC5C7D13C}" name="GRADE" dataDxfId="7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D5C7-224B-4C7F-AC24-9BE19A006F15}">
  <dimension ref="A1:C13"/>
  <sheetViews>
    <sheetView workbookViewId="0">
      <selection activeCell="E2" sqref="E2"/>
    </sheetView>
  </sheetViews>
  <sheetFormatPr defaultRowHeight="14.4" x14ac:dyDescent="0.3"/>
  <cols>
    <col min="1" max="1" width="25.21875" customWidth="1"/>
    <col min="2" max="2" width="17.109375" customWidth="1"/>
    <col min="3" max="3" width="25.21875" customWidth="1"/>
  </cols>
  <sheetData>
    <row r="1" spans="1:3" x14ac:dyDescent="0.3">
      <c r="A1" s="2" t="s">
        <v>0</v>
      </c>
      <c r="B1" s="2" t="s">
        <v>4</v>
      </c>
      <c r="C1" s="2" t="s">
        <v>1</v>
      </c>
    </row>
    <row r="2" spans="1:3" x14ac:dyDescent="0.3">
      <c r="A2" s="3" t="s">
        <v>5</v>
      </c>
      <c r="B2" s="3">
        <f>FIND("\",A2)</f>
        <v>5</v>
      </c>
      <c r="C2" s="3" t="str">
        <f>MID(A2,6,5)</f>
        <v>PATNA</v>
      </c>
    </row>
    <row r="3" spans="1:3" x14ac:dyDescent="0.3">
      <c r="A3" s="3" t="s">
        <v>6</v>
      </c>
      <c r="B3" s="3">
        <f t="shared" ref="B3:B13" si="0">FIND("\",A3)</f>
        <v>5</v>
      </c>
      <c r="C3" s="3" t="str">
        <f t="shared" ref="C3:C13" si="1">MID(A3,6,5)</f>
        <v>PATNA</v>
      </c>
    </row>
    <row r="4" spans="1:3" x14ac:dyDescent="0.3">
      <c r="A4" s="3" t="s">
        <v>2</v>
      </c>
      <c r="B4" s="3">
        <f t="shared" si="0"/>
        <v>5</v>
      </c>
      <c r="C4" s="3" t="str">
        <f t="shared" si="1"/>
        <v>PATNA</v>
      </c>
    </row>
    <row r="5" spans="1:3" x14ac:dyDescent="0.3">
      <c r="A5" s="3" t="s">
        <v>7</v>
      </c>
      <c r="B5" s="3">
        <f t="shared" si="0"/>
        <v>5</v>
      </c>
      <c r="C5" s="3" t="str">
        <f t="shared" si="1"/>
        <v>DELHI</v>
      </c>
    </row>
    <row r="6" spans="1:3" x14ac:dyDescent="0.3">
      <c r="A6" s="3" t="s">
        <v>8</v>
      </c>
      <c r="B6" s="3">
        <f t="shared" si="0"/>
        <v>5</v>
      </c>
      <c r="C6" s="3" t="str">
        <f t="shared" si="1"/>
        <v>DELHI</v>
      </c>
    </row>
    <row r="7" spans="1:3" x14ac:dyDescent="0.3">
      <c r="A7" s="3" t="s">
        <v>9</v>
      </c>
      <c r="B7" s="3">
        <f t="shared" si="0"/>
        <v>5</v>
      </c>
      <c r="C7" s="3" t="str">
        <f t="shared" si="1"/>
        <v>SURAT</v>
      </c>
    </row>
    <row r="8" spans="1:3" x14ac:dyDescent="0.3">
      <c r="A8" s="3" t="s">
        <v>10</v>
      </c>
      <c r="B8" s="3">
        <f t="shared" si="0"/>
        <v>5</v>
      </c>
      <c r="C8" s="3" t="str">
        <f t="shared" si="1"/>
        <v>DELHI</v>
      </c>
    </row>
    <row r="9" spans="1:3" x14ac:dyDescent="0.3">
      <c r="A9" s="3" t="s">
        <v>11</v>
      </c>
      <c r="B9" s="3">
        <f t="shared" si="0"/>
        <v>5</v>
      </c>
      <c r="C9" s="3" t="str">
        <f t="shared" si="1"/>
        <v>DELHI</v>
      </c>
    </row>
    <row r="10" spans="1:3" x14ac:dyDescent="0.3">
      <c r="A10" s="3" t="s">
        <v>12</v>
      </c>
      <c r="B10" s="3">
        <f t="shared" si="0"/>
        <v>5</v>
      </c>
      <c r="C10" s="3" t="str">
        <f t="shared" si="1"/>
        <v>DELHI</v>
      </c>
    </row>
    <row r="11" spans="1:3" x14ac:dyDescent="0.3">
      <c r="A11" s="3" t="s">
        <v>13</v>
      </c>
      <c r="B11" s="3">
        <f t="shared" si="0"/>
        <v>5</v>
      </c>
      <c r="C11" s="3" t="str">
        <f t="shared" si="1"/>
        <v>DELHI</v>
      </c>
    </row>
    <row r="12" spans="1:3" x14ac:dyDescent="0.3">
      <c r="A12" s="3" t="s">
        <v>3</v>
      </c>
      <c r="B12" s="3">
        <f t="shared" si="0"/>
        <v>5</v>
      </c>
      <c r="C12" s="3" t="str">
        <f t="shared" si="1"/>
        <v>PATNA</v>
      </c>
    </row>
    <row r="13" spans="1:3" x14ac:dyDescent="0.3">
      <c r="A13" s="3" t="s">
        <v>14</v>
      </c>
      <c r="B13" s="3">
        <f t="shared" si="0"/>
        <v>5</v>
      </c>
      <c r="C13" s="3" t="str">
        <f t="shared" si="1"/>
        <v>SIWAN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14D3-AF2D-40C2-92CC-C796EC5BA790}">
  <dimension ref="A1:C11"/>
  <sheetViews>
    <sheetView workbookViewId="0">
      <selection activeCell="C26" sqref="C26"/>
    </sheetView>
  </sheetViews>
  <sheetFormatPr defaultRowHeight="14.4" x14ac:dyDescent="0.3"/>
  <cols>
    <col min="3" max="3" width="16.88671875" customWidth="1"/>
  </cols>
  <sheetData>
    <row r="1" spans="1:3" x14ac:dyDescent="0.3">
      <c r="A1" s="3" t="s">
        <v>16</v>
      </c>
      <c r="B1" s="3" t="s">
        <v>15</v>
      </c>
      <c r="C1" s="3" t="s">
        <v>17</v>
      </c>
    </row>
    <row r="2" spans="1:3" x14ac:dyDescent="0.3">
      <c r="A2" s="4">
        <v>1</v>
      </c>
      <c r="B2" s="4">
        <f ca="1">RAND()</f>
        <v>0.49199087535248953</v>
      </c>
      <c r="C2" s="4" t="str">
        <f ca="1">TEXT(B2,"0%")</f>
        <v>49%</v>
      </c>
    </row>
    <row r="3" spans="1:3" x14ac:dyDescent="0.3">
      <c r="A3" s="4">
        <v>2</v>
      </c>
      <c r="B3" s="4">
        <f t="shared" ref="B3:B11" ca="1" si="0">RAND()</f>
        <v>0.5533607121793408</v>
      </c>
      <c r="C3" s="4" t="str">
        <f t="shared" ref="C3:C11" ca="1" si="1">TEXT(B2,"0%")</f>
        <v>49%</v>
      </c>
    </row>
    <row r="4" spans="1:3" x14ac:dyDescent="0.3">
      <c r="A4" s="4">
        <v>3</v>
      </c>
      <c r="B4" s="4">
        <f t="shared" ca="1" si="0"/>
        <v>0.80753422959340149</v>
      </c>
      <c r="C4" s="4" t="str">
        <f t="shared" ca="1" si="1"/>
        <v>55%</v>
      </c>
    </row>
    <row r="5" spans="1:3" x14ac:dyDescent="0.3">
      <c r="A5" s="4">
        <v>4</v>
      </c>
      <c r="B5" s="4">
        <f t="shared" ca="1" si="0"/>
        <v>0.38359395940242136</v>
      </c>
      <c r="C5" s="4" t="str">
        <f t="shared" ca="1" si="1"/>
        <v>81%</v>
      </c>
    </row>
    <row r="6" spans="1:3" x14ac:dyDescent="0.3">
      <c r="A6" s="4">
        <v>5</v>
      </c>
      <c r="B6" s="4">
        <f t="shared" ca="1" si="0"/>
        <v>2.9508580597622069E-2</v>
      </c>
      <c r="C6" s="4" t="str">
        <f t="shared" ca="1" si="1"/>
        <v>38%</v>
      </c>
    </row>
    <row r="7" spans="1:3" x14ac:dyDescent="0.3">
      <c r="A7" s="4">
        <v>6</v>
      </c>
      <c r="B7" s="4">
        <f t="shared" ca="1" si="0"/>
        <v>7.6178979087724197E-2</v>
      </c>
      <c r="C7" s="4" t="str">
        <f t="shared" ca="1" si="1"/>
        <v>3%</v>
      </c>
    </row>
    <row r="8" spans="1:3" x14ac:dyDescent="0.3">
      <c r="A8" s="4">
        <v>7</v>
      </c>
      <c r="B8" s="4">
        <f t="shared" ca="1" si="0"/>
        <v>0.42369697708277076</v>
      </c>
      <c r="C8" s="4" t="str">
        <f t="shared" ca="1" si="1"/>
        <v>8%</v>
      </c>
    </row>
    <row r="9" spans="1:3" x14ac:dyDescent="0.3">
      <c r="A9" s="4">
        <v>8</v>
      </c>
      <c r="B9" s="4">
        <f t="shared" ca="1" si="0"/>
        <v>0.35445559724245579</v>
      </c>
      <c r="C9" s="4" t="str">
        <f t="shared" ca="1" si="1"/>
        <v>42%</v>
      </c>
    </row>
    <row r="10" spans="1:3" x14ac:dyDescent="0.3">
      <c r="A10" s="4">
        <v>9</v>
      </c>
      <c r="B10" s="4">
        <f t="shared" ca="1" si="0"/>
        <v>0.53145388938978422</v>
      </c>
      <c r="C10" s="4" t="str">
        <f t="shared" ca="1" si="1"/>
        <v>35%</v>
      </c>
    </row>
    <row r="11" spans="1:3" x14ac:dyDescent="0.3">
      <c r="A11" s="4">
        <v>10</v>
      </c>
      <c r="B11" s="4">
        <f t="shared" ca="1" si="0"/>
        <v>0.16879308515723279</v>
      </c>
      <c r="C11" s="4" t="str">
        <f t="shared" ca="1" si="1"/>
        <v>53%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6756-E338-4464-85F3-C3F2D6A864CE}">
  <dimension ref="A2:N35"/>
  <sheetViews>
    <sheetView topLeftCell="B8" zoomScale="91" zoomScaleNormal="80" workbookViewId="0">
      <selection activeCell="A5" sqref="A5:N35"/>
    </sheetView>
  </sheetViews>
  <sheetFormatPr defaultRowHeight="14.4" x14ac:dyDescent="0.3"/>
  <cols>
    <col min="2" max="2" width="14.6640625" customWidth="1"/>
    <col min="3" max="3" width="15.33203125" customWidth="1"/>
    <col min="4" max="4" width="13.77734375" customWidth="1"/>
    <col min="5" max="5" width="18.5546875" customWidth="1"/>
    <col min="6" max="6" width="19.77734375" customWidth="1"/>
    <col min="7" max="7" width="21.77734375" customWidth="1"/>
    <col min="8" max="8" width="20.6640625" customWidth="1"/>
    <col min="9" max="9" width="24.44140625" customWidth="1"/>
    <col min="10" max="10" width="16.6640625" customWidth="1"/>
    <col min="11" max="11" width="18" customWidth="1"/>
    <col min="12" max="12" width="16.5546875" customWidth="1"/>
    <col min="13" max="13" width="15" customWidth="1"/>
  </cols>
  <sheetData>
    <row r="2" spans="1:14" x14ac:dyDescent="0.3">
      <c r="B2" s="9" t="s">
        <v>18</v>
      </c>
      <c r="C2" s="9" t="s">
        <v>19</v>
      </c>
      <c r="D2" s="9" t="s">
        <v>20</v>
      </c>
      <c r="E2" s="9" t="s">
        <v>65</v>
      </c>
      <c r="F2" s="9" t="s">
        <v>22</v>
      </c>
      <c r="G2" s="9" t="s">
        <v>23</v>
      </c>
      <c r="H2" s="9" t="s">
        <v>53</v>
      </c>
      <c r="I2" s="9" t="s">
        <v>66</v>
      </c>
      <c r="J2" s="9" t="s">
        <v>55</v>
      </c>
      <c r="K2" s="9" t="s">
        <v>56</v>
      </c>
      <c r="L2" s="9" t="s">
        <v>57</v>
      </c>
      <c r="M2" s="9" t="s">
        <v>17</v>
      </c>
      <c r="N2" s="9" t="s">
        <v>58</v>
      </c>
    </row>
    <row r="3" spans="1:14" x14ac:dyDescent="0.3">
      <c r="B3" s="10" t="s">
        <v>27</v>
      </c>
      <c r="C3" s="10">
        <f>VLOOKUP(B3,B6:N35,2,FALSE)</f>
        <v>62</v>
      </c>
      <c r="D3" s="10">
        <f>VLOOKUP(B3,B5:N35,3,FALSE)</f>
        <v>54</v>
      </c>
      <c r="E3" s="10">
        <f>VLOOKUP(B3,B5:N35,4,FALSE)</f>
        <v>89</v>
      </c>
      <c r="F3" s="10">
        <f>VLOOKUP(B3,B5:N35,5,FALSE)</f>
        <v>1</v>
      </c>
      <c r="G3" s="10">
        <f>VLOOKUP(B3,B5:N35,6,FALSE)</f>
        <v>89</v>
      </c>
      <c r="H3" s="10">
        <f>VLOOKUP(B3,B5:N35,7,FALSE)</f>
        <v>500</v>
      </c>
      <c r="I3" s="10">
        <f>VLOOKUP(B3,B5:N35,8,FALSE)</f>
        <v>295</v>
      </c>
      <c r="J3" s="10">
        <f>VLOOKUP(B3,B5:N35,9,FALSE)</f>
        <v>89</v>
      </c>
      <c r="K3" s="10">
        <f>VLOOKUP(B3,B5:N35,10,FALSE)</f>
        <v>59</v>
      </c>
      <c r="L3" s="10">
        <f>VLOOKUP(B3,B5:N35,11,FALSE)</f>
        <v>1</v>
      </c>
      <c r="M3" s="10">
        <f>VLOOKUP(B3,B5:N35,12,FALSE)</f>
        <v>59</v>
      </c>
      <c r="N3" s="10" t="str">
        <f>VLOOKUP(B3,B5:N35,13,FALSE)</f>
        <v>C</v>
      </c>
    </row>
    <row r="5" spans="1:14" x14ac:dyDescent="0.3">
      <c r="A5" s="6" t="s">
        <v>16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53</v>
      </c>
      <c r="I5" s="6" t="s">
        <v>54</v>
      </c>
      <c r="J5" s="6" t="s">
        <v>55</v>
      </c>
      <c r="K5" s="6" t="s">
        <v>56</v>
      </c>
      <c r="L5" s="6" t="s">
        <v>57</v>
      </c>
      <c r="M5" s="6" t="s">
        <v>17</v>
      </c>
      <c r="N5" s="8" t="s">
        <v>58</v>
      </c>
    </row>
    <row r="6" spans="1:14" x14ac:dyDescent="0.3">
      <c r="A6" s="7">
        <v>1</v>
      </c>
      <c r="B6" s="7" t="s">
        <v>24</v>
      </c>
      <c r="C6" s="7">
        <v>78</v>
      </c>
      <c r="D6" s="7">
        <v>15</v>
      </c>
      <c r="E6" s="7">
        <v>98</v>
      </c>
      <c r="F6" s="7">
        <v>25</v>
      </c>
      <c r="G6" s="7">
        <v>12</v>
      </c>
      <c r="H6" s="7">
        <v>500</v>
      </c>
      <c r="I6" s="7">
        <f>SUM(C6:G6)</f>
        <v>228</v>
      </c>
      <c r="J6" s="7">
        <f>MAX(C6:G6)</f>
        <v>98</v>
      </c>
      <c r="K6" s="7">
        <f>AVERAGE(C6:G6)</f>
        <v>45.6</v>
      </c>
      <c r="L6" s="7">
        <f>MIN(C6:G6)</f>
        <v>12</v>
      </c>
      <c r="M6" s="7">
        <f>I6/H6*100</f>
        <v>45.6</v>
      </c>
      <c r="N6" s="5" t="s">
        <v>62</v>
      </c>
    </row>
    <row r="7" spans="1:14" x14ac:dyDescent="0.3">
      <c r="A7" s="7">
        <v>2</v>
      </c>
      <c r="B7" s="7" t="s">
        <v>25</v>
      </c>
      <c r="C7" s="7">
        <v>95</v>
      </c>
      <c r="D7" s="7">
        <v>89</v>
      </c>
      <c r="E7" s="7">
        <v>23</v>
      </c>
      <c r="F7" s="7">
        <v>27</v>
      </c>
      <c r="G7" s="7">
        <v>35</v>
      </c>
      <c r="H7" s="7">
        <v>500</v>
      </c>
      <c r="I7" s="7">
        <f t="shared" ref="I7:I35" si="0">SUM(C7:G7)</f>
        <v>269</v>
      </c>
      <c r="J7" s="7">
        <f t="shared" ref="J7:J35" si="1">MAX(C7:G7)</f>
        <v>95</v>
      </c>
      <c r="K7" s="7">
        <f t="shared" ref="K7:K35" si="2">AVERAGE(C7:G7)</f>
        <v>53.8</v>
      </c>
      <c r="L7" s="7">
        <f t="shared" ref="L7:L35" si="3">MIN(C7:G7)</f>
        <v>23</v>
      </c>
      <c r="M7" s="7">
        <f t="shared" ref="M7:M35" si="4">I7/H7*100</f>
        <v>53.800000000000004</v>
      </c>
      <c r="N7" s="5" t="s">
        <v>61</v>
      </c>
    </row>
    <row r="8" spans="1:14" x14ac:dyDescent="0.3">
      <c r="A8" s="7">
        <v>3</v>
      </c>
      <c r="B8" s="7" t="s">
        <v>26</v>
      </c>
      <c r="C8" s="7">
        <v>52</v>
      </c>
      <c r="D8" s="7">
        <v>41</v>
      </c>
      <c r="E8" s="7">
        <v>15</v>
      </c>
      <c r="F8" s="7">
        <v>0</v>
      </c>
      <c r="G8" s="7">
        <v>15</v>
      </c>
      <c r="H8" s="7">
        <v>500</v>
      </c>
      <c r="I8" s="7">
        <f t="shared" si="0"/>
        <v>123</v>
      </c>
      <c r="J8" s="7">
        <f t="shared" si="1"/>
        <v>52</v>
      </c>
      <c r="K8" s="7">
        <f t="shared" si="2"/>
        <v>24.6</v>
      </c>
      <c r="L8" s="7">
        <f t="shared" si="3"/>
        <v>0</v>
      </c>
      <c r="M8" s="7">
        <f t="shared" si="4"/>
        <v>24.6</v>
      </c>
      <c r="N8" s="5" t="s">
        <v>64</v>
      </c>
    </row>
    <row r="9" spans="1:14" x14ac:dyDescent="0.3">
      <c r="A9" s="7">
        <v>4</v>
      </c>
      <c r="B9" s="7" t="s">
        <v>27</v>
      </c>
      <c r="C9" s="7">
        <v>62</v>
      </c>
      <c r="D9" s="7">
        <v>54</v>
      </c>
      <c r="E9" s="7">
        <v>89</v>
      </c>
      <c r="F9" s="7">
        <v>1</v>
      </c>
      <c r="G9" s="7">
        <v>89</v>
      </c>
      <c r="H9" s="7">
        <v>500</v>
      </c>
      <c r="I9" s="7">
        <f t="shared" si="0"/>
        <v>295</v>
      </c>
      <c r="J9" s="7">
        <f t="shared" si="1"/>
        <v>89</v>
      </c>
      <c r="K9" s="7">
        <f t="shared" si="2"/>
        <v>59</v>
      </c>
      <c r="L9" s="7">
        <f t="shared" si="3"/>
        <v>1</v>
      </c>
      <c r="M9" s="7">
        <f t="shared" si="4"/>
        <v>59</v>
      </c>
      <c r="N9" s="5" t="s">
        <v>61</v>
      </c>
    </row>
    <row r="10" spans="1:14" x14ac:dyDescent="0.3">
      <c r="A10" s="7">
        <v>5</v>
      </c>
      <c r="B10" s="7" t="s">
        <v>28</v>
      </c>
      <c r="C10" s="7">
        <v>35</v>
      </c>
      <c r="D10" s="7">
        <v>96</v>
      </c>
      <c r="E10" s="7">
        <v>41</v>
      </c>
      <c r="F10" s="7">
        <v>2</v>
      </c>
      <c r="G10" s="7">
        <v>41</v>
      </c>
      <c r="H10" s="7">
        <v>500</v>
      </c>
      <c r="I10" s="7">
        <f t="shared" si="0"/>
        <v>215</v>
      </c>
      <c r="J10" s="7">
        <f t="shared" si="1"/>
        <v>96</v>
      </c>
      <c r="K10" s="7">
        <f t="shared" si="2"/>
        <v>43</v>
      </c>
      <c r="L10" s="7">
        <f t="shared" si="3"/>
        <v>2</v>
      </c>
      <c r="M10" s="7">
        <f t="shared" si="4"/>
        <v>43</v>
      </c>
      <c r="N10" s="5" t="s">
        <v>62</v>
      </c>
    </row>
    <row r="11" spans="1:14" x14ac:dyDescent="0.3">
      <c r="A11" s="7">
        <v>6</v>
      </c>
      <c r="B11" s="7" t="s">
        <v>29</v>
      </c>
      <c r="C11" s="7">
        <v>15</v>
      </c>
      <c r="D11" s="7">
        <v>89</v>
      </c>
      <c r="E11" s="7">
        <v>54</v>
      </c>
      <c r="F11" s="7">
        <v>15</v>
      </c>
      <c r="G11" s="7">
        <v>54</v>
      </c>
      <c r="H11" s="7">
        <v>500</v>
      </c>
      <c r="I11" s="7">
        <f t="shared" si="0"/>
        <v>227</v>
      </c>
      <c r="J11" s="7">
        <f t="shared" si="1"/>
        <v>89</v>
      </c>
      <c r="K11" s="7">
        <f t="shared" si="2"/>
        <v>45.4</v>
      </c>
      <c r="L11" s="7">
        <f t="shared" si="3"/>
        <v>15</v>
      </c>
      <c r="M11" s="7">
        <f t="shared" si="4"/>
        <v>45.4</v>
      </c>
      <c r="N11" s="5" t="s">
        <v>62</v>
      </c>
    </row>
    <row r="12" spans="1:14" x14ac:dyDescent="0.3">
      <c r="A12" s="7">
        <v>7</v>
      </c>
      <c r="B12" s="7" t="s">
        <v>30</v>
      </c>
      <c r="C12" s="7">
        <v>89</v>
      </c>
      <c r="D12" s="7">
        <v>41</v>
      </c>
      <c r="E12" s="7">
        <v>96</v>
      </c>
      <c r="F12" s="7">
        <v>40</v>
      </c>
      <c r="G12" s="7">
        <v>96</v>
      </c>
      <c r="H12" s="7">
        <v>500</v>
      </c>
      <c r="I12" s="7">
        <f t="shared" si="0"/>
        <v>362</v>
      </c>
      <c r="J12" s="7">
        <f t="shared" si="1"/>
        <v>96</v>
      </c>
      <c r="K12" s="7">
        <f t="shared" si="2"/>
        <v>72.400000000000006</v>
      </c>
      <c r="L12" s="7">
        <f t="shared" si="3"/>
        <v>40</v>
      </c>
      <c r="M12" s="7">
        <f t="shared" si="4"/>
        <v>72.399999999999991</v>
      </c>
      <c r="N12" s="5" t="s">
        <v>60</v>
      </c>
    </row>
    <row r="13" spans="1:14" x14ac:dyDescent="0.3">
      <c r="A13" s="7">
        <v>8</v>
      </c>
      <c r="B13" s="7" t="s">
        <v>31</v>
      </c>
      <c r="C13" s="7">
        <v>41</v>
      </c>
      <c r="D13" s="7">
        <v>98</v>
      </c>
      <c r="E13" s="7">
        <v>89</v>
      </c>
      <c r="F13" s="7">
        <v>100</v>
      </c>
      <c r="G13" s="7">
        <v>89</v>
      </c>
      <c r="H13" s="7">
        <v>500</v>
      </c>
      <c r="I13" s="7">
        <f t="shared" si="0"/>
        <v>417</v>
      </c>
      <c r="J13" s="7">
        <f t="shared" si="1"/>
        <v>100</v>
      </c>
      <c r="K13" s="7">
        <f t="shared" si="2"/>
        <v>83.4</v>
      </c>
      <c r="L13" s="7">
        <f t="shared" si="3"/>
        <v>41</v>
      </c>
      <c r="M13" s="7">
        <f t="shared" si="4"/>
        <v>83.399999999999991</v>
      </c>
      <c r="N13" s="5" t="s">
        <v>59</v>
      </c>
    </row>
    <row r="14" spans="1:14" x14ac:dyDescent="0.3">
      <c r="A14" s="7">
        <v>9</v>
      </c>
      <c r="B14" s="7" t="s">
        <v>32</v>
      </c>
      <c r="C14" s="7">
        <v>54</v>
      </c>
      <c r="D14" s="7">
        <v>23</v>
      </c>
      <c r="E14" s="7">
        <v>41</v>
      </c>
      <c r="F14" s="7">
        <v>0</v>
      </c>
      <c r="G14" s="7">
        <v>41</v>
      </c>
      <c r="H14" s="7">
        <v>500</v>
      </c>
      <c r="I14" s="7">
        <f t="shared" si="0"/>
        <v>159</v>
      </c>
      <c r="J14" s="7">
        <f t="shared" si="1"/>
        <v>54</v>
      </c>
      <c r="K14" s="7">
        <f t="shared" si="2"/>
        <v>31.8</v>
      </c>
      <c r="L14" s="7">
        <f t="shared" si="3"/>
        <v>0</v>
      </c>
      <c r="M14" s="7">
        <f t="shared" si="4"/>
        <v>31.8</v>
      </c>
      <c r="N14" s="5" t="s">
        <v>63</v>
      </c>
    </row>
    <row r="15" spans="1:14" x14ac:dyDescent="0.3">
      <c r="A15" s="7">
        <v>10</v>
      </c>
      <c r="B15" s="7" t="s">
        <v>33</v>
      </c>
      <c r="C15" s="7">
        <v>96</v>
      </c>
      <c r="D15" s="7">
        <v>66</v>
      </c>
      <c r="E15" s="7">
        <v>98</v>
      </c>
      <c r="F15" s="7">
        <v>1</v>
      </c>
      <c r="G15" s="7">
        <v>98</v>
      </c>
      <c r="H15" s="7">
        <v>500</v>
      </c>
      <c r="I15" s="7">
        <f t="shared" si="0"/>
        <v>359</v>
      </c>
      <c r="J15" s="7">
        <f t="shared" si="1"/>
        <v>98</v>
      </c>
      <c r="K15" s="7">
        <f t="shared" si="2"/>
        <v>71.8</v>
      </c>
      <c r="L15" s="7">
        <f t="shared" si="3"/>
        <v>1</v>
      </c>
      <c r="M15" s="7">
        <f t="shared" si="4"/>
        <v>71.8</v>
      </c>
      <c r="N15" s="5" t="s">
        <v>60</v>
      </c>
    </row>
    <row r="16" spans="1:14" x14ac:dyDescent="0.3">
      <c r="A16" s="7">
        <v>11</v>
      </c>
      <c r="B16" s="7" t="s">
        <v>34</v>
      </c>
      <c r="C16" s="7">
        <v>52</v>
      </c>
      <c r="D16" s="7">
        <v>25</v>
      </c>
      <c r="E16" s="7">
        <v>23</v>
      </c>
      <c r="F16" s="7">
        <v>2</v>
      </c>
      <c r="G16" s="7">
        <v>23</v>
      </c>
      <c r="H16" s="7">
        <v>500</v>
      </c>
      <c r="I16" s="7">
        <f t="shared" si="0"/>
        <v>125</v>
      </c>
      <c r="J16" s="7">
        <f t="shared" si="1"/>
        <v>52</v>
      </c>
      <c r="K16" s="7">
        <f t="shared" si="2"/>
        <v>25</v>
      </c>
      <c r="L16" s="7">
        <f t="shared" si="3"/>
        <v>2</v>
      </c>
      <c r="M16" s="7">
        <f t="shared" si="4"/>
        <v>25</v>
      </c>
      <c r="N16" s="5" t="s">
        <v>64</v>
      </c>
    </row>
    <row r="17" spans="1:14" x14ac:dyDescent="0.3">
      <c r="A17" s="7">
        <v>12</v>
      </c>
      <c r="B17" s="7" t="s">
        <v>35</v>
      </c>
      <c r="C17" s="7">
        <v>62</v>
      </c>
      <c r="D17" s="7">
        <v>39</v>
      </c>
      <c r="E17" s="7">
        <v>66</v>
      </c>
      <c r="F17" s="7">
        <v>15</v>
      </c>
      <c r="G17" s="7">
        <v>66</v>
      </c>
      <c r="H17" s="7">
        <v>500</v>
      </c>
      <c r="I17" s="7">
        <f t="shared" si="0"/>
        <v>248</v>
      </c>
      <c r="J17" s="7">
        <f t="shared" si="1"/>
        <v>66</v>
      </c>
      <c r="K17" s="7">
        <f t="shared" si="2"/>
        <v>49.6</v>
      </c>
      <c r="L17" s="7">
        <f t="shared" si="3"/>
        <v>15</v>
      </c>
      <c r="M17" s="7">
        <f t="shared" si="4"/>
        <v>49.6</v>
      </c>
      <c r="N17" s="5" t="s">
        <v>62</v>
      </c>
    </row>
    <row r="18" spans="1:14" x14ac:dyDescent="0.3">
      <c r="A18" s="7">
        <v>13</v>
      </c>
      <c r="B18" s="7" t="s">
        <v>36</v>
      </c>
      <c r="C18" s="7">
        <v>35</v>
      </c>
      <c r="D18" s="7">
        <v>40</v>
      </c>
      <c r="E18" s="7">
        <v>25</v>
      </c>
      <c r="F18" s="7">
        <v>25</v>
      </c>
      <c r="G18" s="7">
        <v>25</v>
      </c>
      <c r="H18" s="7">
        <v>500</v>
      </c>
      <c r="I18" s="7">
        <f t="shared" si="0"/>
        <v>150</v>
      </c>
      <c r="J18" s="7">
        <f t="shared" si="1"/>
        <v>40</v>
      </c>
      <c r="K18" s="7">
        <f t="shared" si="2"/>
        <v>30</v>
      </c>
      <c r="L18" s="7">
        <f t="shared" si="3"/>
        <v>25</v>
      </c>
      <c r="M18" s="7">
        <f t="shared" si="4"/>
        <v>30</v>
      </c>
      <c r="N18" s="5" t="s">
        <v>63</v>
      </c>
    </row>
    <row r="19" spans="1:14" x14ac:dyDescent="0.3">
      <c r="A19" s="7">
        <v>14</v>
      </c>
      <c r="B19" s="7" t="s">
        <v>37</v>
      </c>
      <c r="C19" s="7">
        <v>15</v>
      </c>
      <c r="D19" s="7">
        <v>100</v>
      </c>
      <c r="E19" s="7">
        <v>39</v>
      </c>
      <c r="F19" s="7">
        <v>19</v>
      </c>
      <c r="G19" s="7">
        <v>39</v>
      </c>
      <c r="H19" s="7">
        <v>500</v>
      </c>
      <c r="I19" s="7">
        <f t="shared" si="0"/>
        <v>212</v>
      </c>
      <c r="J19" s="7">
        <f t="shared" si="1"/>
        <v>100</v>
      </c>
      <c r="K19" s="7">
        <f t="shared" si="2"/>
        <v>42.4</v>
      </c>
      <c r="L19" s="7">
        <f t="shared" si="3"/>
        <v>15</v>
      </c>
      <c r="M19" s="7">
        <f t="shared" si="4"/>
        <v>42.4</v>
      </c>
      <c r="N19" s="5" t="s">
        <v>62</v>
      </c>
    </row>
    <row r="20" spans="1:14" x14ac:dyDescent="0.3">
      <c r="A20" s="7">
        <v>15</v>
      </c>
      <c r="B20" s="7" t="s">
        <v>38</v>
      </c>
      <c r="C20" s="7">
        <v>89</v>
      </c>
      <c r="D20" s="7">
        <v>98</v>
      </c>
      <c r="E20" s="7">
        <v>40</v>
      </c>
      <c r="F20" s="7">
        <v>20</v>
      </c>
      <c r="G20" s="7">
        <v>40</v>
      </c>
      <c r="H20" s="7">
        <v>500</v>
      </c>
      <c r="I20" s="7">
        <f t="shared" si="0"/>
        <v>287</v>
      </c>
      <c r="J20" s="7">
        <f t="shared" si="1"/>
        <v>98</v>
      </c>
      <c r="K20" s="7">
        <f t="shared" si="2"/>
        <v>57.4</v>
      </c>
      <c r="L20" s="7">
        <f t="shared" si="3"/>
        <v>20</v>
      </c>
      <c r="M20" s="7">
        <f t="shared" si="4"/>
        <v>57.4</v>
      </c>
      <c r="N20" s="5" t="s">
        <v>61</v>
      </c>
    </row>
    <row r="21" spans="1:14" x14ac:dyDescent="0.3">
      <c r="A21" s="7">
        <v>16</v>
      </c>
      <c r="B21" s="7" t="s">
        <v>39</v>
      </c>
      <c r="C21" s="7">
        <v>41</v>
      </c>
      <c r="D21" s="7">
        <v>23</v>
      </c>
      <c r="E21" s="7">
        <v>100</v>
      </c>
      <c r="F21" s="7">
        <v>21</v>
      </c>
      <c r="G21" s="7">
        <v>100</v>
      </c>
      <c r="H21" s="7">
        <v>500</v>
      </c>
      <c r="I21" s="7">
        <f t="shared" si="0"/>
        <v>285</v>
      </c>
      <c r="J21" s="7">
        <f t="shared" si="1"/>
        <v>100</v>
      </c>
      <c r="K21" s="7">
        <f t="shared" si="2"/>
        <v>57</v>
      </c>
      <c r="L21" s="7">
        <f t="shared" si="3"/>
        <v>21</v>
      </c>
      <c r="M21" s="7">
        <f t="shared" si="4"/>
        <v>56.999999999999993</v>
      </c>
      <c r="N21" s="5" t="s">
        <v>61</v>
      </c>
    </row>
    <row r="22" spans="1:14" x14ac:dyDescent="0.3">
      <c r="A22" s="7">
        <v>17</v>
      </c>
      <c r="B22" s="7" t="s">
        <v>40</v>
      </c>
      <c r="C22" s="7">
        <v>98</v>
      </c>
      <c r="D22" s="7">
        <v>15</v>
      </c>
      <c r="E22" s="7">
        <v>0</v>
      </c>
      <c r="F22" s="7">
        <v>15</v>
      </c>
      <c r="G22" s="7">
        <v>0</v>
      </c>
      <c r="H22" s="7">
        <v>500</v>
      </c>
      <c r="I22" s="7">
        <f t="shared" si="0"/>
        <v>128</v>
      </c>
      <c r="J22" s="7">
        <f t="shared" si="1"/>
        <v>98</v>
      </c>
      <c r="K22" s="7">
        <f t="shared" si="2"/>
        <v>25.6</v>
      </c>
      <c r="L22" s="7">
        <f t="shared" si="3"/>
        <v>0</v>
      </c>
      <c r="M22" s="7">
        <f t="shared" si="4"/>
        <v>25.6</v>
      </c>
      <c r="N22" s="5" t="s">
        <v>64</v>
      </c>
    </row>
    <row r="23" spans="1:14" x14ac:dyDescent="0.3">
      <c r="A23" s="7">
        <v>18</v>
      </c>
      <c r="B23" s="7" t="s">
        <v>41</v>
      </c>
      <c r="C23" s="7">
        <v>23</v>
      </c>
      <c r="D23" s="7">
        <v>89</v>
      </c>
      <c r="E23" s="7">
        <v>1</v>
      </c>
      <c r="F23" s="7">
        <v>89</v>
      </c>
      <c r="G23" s="7">
        <v>1</v>
      </c>
      <c r="H23" s="7">
        <v>500</v>
      </c>
      <c r="I23" s="7">
        <f t="shared" si="0"/>
        <v>203</v>
      </c>
      <c r="J23" s="7">
        <f t="shared" si="1"/>
        <v>89</v>
      </c>
      <c r="K23" s="7">
        <f t="shared" si="2"/>
        <v>40.6</v>
      </c>
      <c r="L23" s="7">
        <f t="shared" si="3"/>
        <v>1</v>
      </c>
      <c r="M23" s="7">
        <f t="shared" si="4"/>
        <v>40.6</v>
      </c>
      <c r="N23" s="5" t="s">
        <v>62</v>
      </c>
    </row>
    <row r="24" spans="1:14" x14ac:dyDescent="0.3">
      <c r="A24" s="7">
        <v>19</v>
      </c>
      <c r="B24" s="7" t="s">
        <v>42</v>
      </c>
      <c r="C24" s="7">
        <v>62</v>
      </c>
      <c r="D24" s="7">
        <v>41</v>
      </c>
      <c r="E24" s="7">
        <v>2</v>
      </c>
      <c r="F24" s="7">
        <v>41</v>
      </c>
      <c r="G24" s="7">
        <v>2</v>
      </c>
      <c r="H24" s="7">
        <v>500</v>
      </c>
      <c r="I24" s="7">
        <f t="shared" si="0"/>
        <v>148</v>
      </c>
      <c r="J24" s="7">
        <f t="shared" si="1"/>
        <v>62</v>
      </c>
      <c r="K24" s="7">
        <f t="shared" si="2"/>
        <v>29.6</v>
      </c>
      <c r="L24" s="7">
        <f t="shared" si="3"/>
        <v>2</v>
      </c>
      <c r="M24" s="7">
        <f t="shared" si="4"/>
        <v>29.599999999999998</v>
      </c>
      <c r="N24" s="5" t="s">
        <v>64</v>
      </c>
    </row>
    <row r="25" spans="1:14" x14ac:dyDescent="0.3">
      <c r="A25" s="7">
        <v>20</v>
      </c>
      <c r="B25" s="7" t="s">
        <v>43</v>
      </c>
      <c r="C25" s="7">
        <v>35</v>
      </c>
      <c r="D25" s="7">
        <v>12</v>
      </c>
      <c r="E25" s="7">
        <v>15</v>
      </c>
      <c r="F25" s="7">
        <v>54</v>
      </c>
      <c r="G25" s="7">
        <v>15</v>
      </c>
      <c r="H25" s="7">
        <v>500</v>
      </c>
      <c r="I25" s="7">
        <f t="shared" si="0"/>
        <v>131</v>
      </c>
      <c r="J25" s="7">
        <f t="shared" si="1"/>
        <v>54</v>
      </c>
      <c r="K25" s="7">
        <f t="shared" si="2"/>
        <v>26.2</v>
      </c>
      <c r="L25" s="7">
        <f t="shared" si="3"/>
        <v>12</v>
      </c>
      <c r="M25" s="7">
        <f t="shared" si="4"/>
        <v>26.200000000000003</v>
      </c>
      <c r="N25" s="5" t="s">
        <v>64</v>
      </c>
    </row>
    <row r="26" spans="1:14" x14ac:dyDescent="0.3">
      <c r="A26" s="7">
        <v>21</v>
      </c>
      <c r="B26" s="7" t="s">
        <v>25</v>
      </c>
      <c r="C26" s="7">
        <v>15</v>
      </c>
      <c r="D26" s="7">
        <v>35</v>
      </c>
      <c r="E26" s="7">
        <v>15</v>
      </c>
      <c r="F26" s="7">
        <v>96</v>
      </c>
      <c r="G26" s="7">
        <v>25</v>
      </c>
      <c r="H26" s="7">
        <v>500</v>
      </c>
      <c r="I26" s="7">
        <f t="shared" si="0"/>
        <v>186</v>
      </c>
      <c r="J26" s="7">
        <f t="shared" si="1"/>
        <v>96</v>
      </c>
      <c r="K26" s="7">
        <f t="shared" si="2"/>
        <v>37.200000000000003</v>
      </c>
      <c r="L26" s="7">
        <f t="shared" si="3"/>
        <v>15</v>
      </c>
      <c r="M26" s="7">
        <f t="shared" si="4"/>
        <v>37.200000000000003</v>
      </c>
      <c r="N26" s="5" t="s">
        <v>63</v>
      </c>
    </row>
    <row r="27" spans="1:14" x14ac:dyDescent="0.3">
      <c r="A27" s="7">
        <v>22</v>
      </c>
      <c r="B27" s="7" t="s">
        <v>44</v>
      </c>
      <c r="C27" s="7">
        <v>89</v>
      </c>
      <c r="D27" s="7">
        <v>15</v>
      </c>
      <c r="E27" s="7">
        <v>89</v>
      </c>
      <c r="F27" s="7">
        <v>89</v>
      </c>
      <c r="G27" s="7">
        <v>27</v>
      </c>
      <c r="H27" s="7">
        <v>500</v>
      </c>
      <c r="I27" s="7">
        <f t="shared" si="0"/>
        <v>309</v>
      </c>
      <c r="J27" s="7">
        <f t="shared" si="1"/>
        <v>89</v>
      </c>
      <c r="K27" s="7">
        <f t="shared" si="2"/>
        <v>61.8</v>
      </c>
      <c r="L27" s="7">
        <f t="shared" si="3"/>
        <v>15</v>
      </c>
      <c r="M27" s="7">
        <f t="shared" si="4"/>
        <v>61.8</v>
      </c>
      <c r="N27" s="5" t="s">
        <v>60</v>
      </c>
    </row>
    <row r="28" spans="1:14" x14ac:dyDescent="0.3">
      <c r="A28" s="7">
        <v>23</v>
      </c>
      <c r="B28" s="7" t="s">
        <v>45</v>
      </c>
      <c r="C28" s="7">
        <v>41</v>
      </c>
      <c r="D28" s="7">
        <v>89</v>
      </c>
      <c r="E28" s="7">
        <v>41</v>
      </c>
      <c r="F28" s="7">
        <v>41</v>
      </c>
      <c r="G28" s="7">
        <v>0</v>
      </c>
      <c r="H28" s="7">
        <v>500</v>
      </c>
      <c r="I28" s="7">
        <f t="shared" si="0"/>
        <v>212</v>
      </c>
      <c r="J28" s="7">
        <f t="shared" si="1"/>
        <v>89</v>
      </c>
      <c r="K28" s="7">
        <f t="shared" si="2"/>
        <v>42.4</v>
      </c>
      <c r="L28" s="7">
        <f t="shared" si="3"/>
        <v>0</v>
      </c>
      <c r="M28" s="7">
        <f t="shared" si="4"/>
        <v>42.4</v>
      </c>
      <c r="N28" s="5" t="s">
        <v>62</v>
      </c>
    </row>
    <row r="29" spans="1:14" x14ac:dyDescent="0.3">
      <c r="A29" s="7">
        <v>24</v>
      </c>
      <c r="B29" s="7" t="s">
        <v>46</v>
      </c>
      <c r="C29" s="7">
        <v>98</v>
      </c>
      <c r="D29" s="7">
        <v>95</v>
      </c>
      <c r="E29" s="7">
        <v>54</v>
      </c>
      <c r="F29" s="7">
        <v>98</v>
      </c>
      <c r="G29" s="7">
        <v>1</v>
      </c>
      <c r="H29" s="7">
        <v>500</v>
      </c>
      <c r="I29" s="7">
        <f t="shared" si="0"/>
        <v>346</v>
      </c>
      <c r="J29" s="7">
        <f t="shared" si="1"/>
        <v>98</v>
      </c>
      <c r="K29" s="7">
        <f t="shared" si="2"/>
        <v>69.2</v>
      </c>
      <c r="L29" s="7">
        <f t="shared" si="3"/>
        <v>1</v>
      </c>
      <c r="M29" s="7">
        <f t="shared" si="4"/>
        <v>69.199999999999989</v>
      </c>
      <c r="N29" s="5" t="s">
        <v>60</v>
      </c>
    </row>
    <row r="30" spans="1:14" x14ac:dyDescent="0.3">
      <c r="A30" s="7">
        <v>25</v>
      </c>
      <c r="B30" s="7" t="s">
        <v>47</v>
      </c>
      <c r="C30" s="7">
        <v>23</v>
      </c>
      <c r="D30" s="7">
        <v>52</v>
      </c>
      <c r="E30" s="7">
        <v>41</v>
      </c>
      <c r="F30" s="7">
        <v>23</v>
      </c>
      <c r="G30" s="7">
        <v>2</v>
      </c>
      <c r="H30" s="7">
        <v>500</v>
      </c>
      <c r="I30" s="7">
        <f t="shared" si="0"/>
        <v>141</v>
      </c>
      <c r="J30" s="7">
        <f t="shared" si="1"/>
        <v>52</v>
      </c>
      <c r="K30" s="7">
        <f t="shared" si="2"/>
        <v>28.2</v>
      </c>
      <c r="L30" s="7">
        <f t="shared" si="3"/>
        <v>2</v>
      </c>
      <c r="M30" s="7">
        <f t="shared" si="4"/>
        <v>28.199999999999996</v>
      </c>
      <c r="N30" s="5" t="s">
        <v>64</v>
      </c>
    </row>
    <row r="31" spans="1:14" x14ac:dyDescent="0.3">
      <c r="A31" s="7">
        <v>26</v>
      </c>
      <c r="B31" s="7" t="s">
        <v>48</v>
      </c>
      <c r="C31" s="7">
        <v>66</v>
      </c>
      <c r="D31" s="7">
        <v>62</v>
      </c>
      <c r="E31" s="7">
        <v>98</v>
      </c>
      <c r="F31" s="7">
        <v>66</v>
      </c>
      <c r="G31" s="7">
        <v>15</v>
      </c>
      <c r="H31" s="7">
        <v>500</v>
      </c>
      <c r="I31" s="7">
        <f t="shared" si="0"/>
        <v>307</v>
      </c>
      <c r="J31" s="7">
        <f t="shared" si="1"/>
        <v>98</v>
      </c>
      <c r="K31" s="7">
        <f t="shared" si="2"/>
        <v>61.4</v>
      </c>
      <c r="L31" s="7">
        <f t="shared" si="3"/>
        <v>15</v>
      </c>
      <c r="M31" s="7">
        <f t="shared" si="4"/>
        <v>61.4</v>
      </c>
      <c r="N31" s="5" t="s">
        <v>60</v>
      </c>
    </row>
    <row r="32" spans="1:14" x14ac:dyDescent="0.3">
      <c r="A32" s="7">
        <v>27</v>
      </c>
      <c r="B32" s="7" t="s">
        <v>49</v>
      </c>
      <c r="C32" s="7">
        <v>25</v>
      </c>
      <c r="D32" s="7">
        <v>0</v>
      </c>
      <c r="E32" s="7">
        <v>23</v>
      </c>
      <c r="F32" s="7">
        <v>25</v>
      </c>
      <c r="G32" s="7">
        <v>19</v>
      </c>
      <c r="H32" s="7">
        <v>500</v>
      </c>
      <c r="I32" s="7">
        <f t="shared" si="0"/>
        <v>92</v>
      </c>
      <c r="J32" s="7">
        <f t="shared" si="1"/>
        <v>25</v>
      </c>
      <c r="K32" s="7">
        <f t="shared" si="2"/>
        <v>18.399999999999999</v>
      </c>
      <c r="L32" s="7">
        <f t="shared" si="3"/>
        <v>0</v>
      </c>
      <c r="M32" s="7">
        <f t="shared" si="4"/>
        <v>18.399999999999999</v>
      </c>
      <c r="N32" s="5" t="s">
        <v>64</v>
      </c>
    </row>
    <row r="33" spans="1:14" x14ac:dyDescent="0.3">
      <c r="A33" s="7">
        <v>28</v>
      </c>
      <c r="B33" s="7" t="s">
        <v>50</v>
      </c>
      <c r="C33" s="7">
        <v>39</v>
      </c>
      <c r="D33" s="7">
        <v>1</v>
      </c>
      <c r="E33" s="7">
        <v>62</v>
      </c>
      <c r="F33" s="7">
        <v>39</v>
      </c>
      <c r="G33" s="7">
        <v>20</v>
      </c>
      <c r="H33" s="7">
        <v>500</v>
      </c>
      <c r="I33" s="7">
        <f t="shared" si="0"/>
        <v>161</v>
      </c>
      <c r="J33" s="7">
        <f t="shared" si="1"/>
        <v>62</v>
      </c>
      <c r="K33" s="7">
        <f t="shared" si="2"/>
        <v>32.200000000000003</v>
      </c>
      <c r="L33" s="7">
        <f t="shared" si="3"/>
        <v>1</v>
      </c>
      <c r="M33" s="7">
        <f t="shared" si="4"/>
        <v>32.200000000000003</v>
      </c>
      <c r="N33" s="5" t="s">
        <v>63</v>
      </c>
    </row>
    <row r="34" spans="1:14" x14ac:dyDescent="0.3">
      <c r="A34" s="7">
        <v>29</v>
      </c>
      <c r="B34" s="7" t="s">
        <v>51</v>
      </c>
      <c r="C34" s="7">
        <v>40</v>
      </c>
      <c r="D34" s="7">
        <v>2</v>
      </c>
      <c r="E34" s="7">
        <v>35</v>
      </c>
      <c r="F34" s="7">
        <v>40</v>
      </c>
      <c r="G34" s="7">
        <v>21</v>
      </c>
      <c r="H34" s="7">
        <v>500</v>
      </c>
      <c r="I34" s="7">
        <f t="shared" si="0"/>
        <v>138</v>
      </c>
      <c r="J34" s="7">
        <f t="shared" si="1"/>
        <v>40</v>
      </c>
      <c r="K34" s="7">
        <f t="shared" si="2"/>
        <v>27.6</v>
      </c>
      <c r="L34" s="7">
        <f t="shared" si="3"/>
        <v>2</v>
      </c>
      <c r="M34" s="7">
        <f t="shared" si="4"/>
        <v>27.6</v>
      </c>
      <c r="N34" s="5" t="s">
        <v>64</v>
      </c>
    </row>
    <row r="35" spans="1:14" x14ac:dyDescent="0.3">
      <c r="A35" s="7">
        <v>30</v>
      </c>
      <c r="B35" s="7" t="s">
        <v>52</v>
      </c>
      <c r="C35" s="7">
        <v>100</v>
      </c>
      <c r="D35" s="7">
        <v>15</v>
      </c>
      <c r="E35" s="7">
        <v>74</v>
      </c>
      <c r="F35" s="7">
        <v>100</v>
      </c>
      <c r="G35" s="7">
        <v>15</v>
      </c>
      <c r="H35" s="7">
        <v>500</v>
      </c>
      <c r="I35" s="7">
        <f t="shared" si="0"/>
        <v>304</v>
      </c>
      <c r="J35" s="7">
        <f t="shared" si="1"/>
        <v>100</v>
      </c>
      <c r="K35" s="7">
        <f t="shared" si="2"/>
        <v>60.8</v>
      </c>
      <c r="L35" s="7">
        <f t="shared" si="3"/>
        <v>15</v>
      </c>
      <c r="M35" s="7">
        <f t="shared" si="4"/>
        <v>60.8</v>
      </c>
      <c r="N35" s="5" t="s">
        <v>60</v>
      </c>
    </row>
  </sheetData>
  <dataValidations count="1">
    <dataValidation type="list" allowBlank="1" showInputMessage="1" showErrorMessage="1" sqref="B3" xr:uid="{A8912399-45CC-40D2-A9F2-014E158ED001}">
      <formula1>$B$6:$B$35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65DB-A4C3-4C6B-BE8D-25820D27B64E}">
  <dimension ref="A1:N39"/>
  <sheetViews>
    <sheetView topLeftCell="A2" zoomScale="55" zoomScaleNormal="55" workbookViewId="0">
      <selection activeCell="P18" sqref="P18"/>
    </sheetView>
  </sheetViews>
  <sheetFormatPr defaultRowHeight="14.4" x14ac:dyDescent="0.3"/>
  <cols>
    <col min="1" max="1" width="8.88671875" customWidth="1"/>
    <col min="2" max="2" width="14.109375" hidden="1" customWidth="1"/>
    <col min="3" max="3" width="15.109375" customWidth="1"/>
    <col min="4" max="4" width="19" customWidth="1"/>
    <col min="5" max="5" width="12.5546875" customWidth="1"/>
    <col min="6" max="6" width="14.5546875" customWidth="1"/>
    <col min="7" max="7" width="17" customWidth="1"/>
    <col min="8" max="8" width="19.109375" customWidth="1"/>
    <col min="9" max="9" width="17.6640625" customWidth="1"/>
    <col min="10" max="10" width="20.33203125" customWidth="1"/>
    <col min="11" max="11" width="21.6640625" customWidth="1"/>
    <col min="12" max="12" width="20.88671875" customWidth="1"/>
    <col min="13" max="13" width="18.109375" hidden="1" customWidth="1"/>
    <col min="14" max="14" width="8.88671875" customWidth="1"/>
  </cols>
  <sheetData>
    <row r="1" spans="1:14" hidden="1" x14ac:dyDescent="0.3">
      <c r="A1" s="11" t="s">
        <v>16</v>
      </c>
      <c r="B1" s="12" t="s">
        <v>18</v>
      </c>
      <c r="C1" s="12" t="s">
        <v>19</v>
      </c>
      <c r="D1" s="12" t="s">
        <v>20</v>
      </c>
      <c r="E1" s="12" t="s">
        <v>21</v>
      </c>
      <c r="F1" s="12" t="s">
        <v>22</v>
      </c>
      <c r="G1" s="12" t="s">
        <v>23</v>
      </c>
      <c r="H1" s="12" t="s">
        <v>53</v>
      </c>
      <c r="I1" s="12" t="s">
        <v>54</v>
      </c>
      <c r="J1" s="12" t="s">
        <v>55</v>
      </c>
      <c r="K1" s="12" t="s">
        <v>56</v>
      </c>
      <c r="L1" s="12" t="s">
        <v>57</v>
      </c>
      <c r="M1" s="12" t="s">
        <v>17</v>
      </c>
      <c r="N1" s="13" t="s">
        <v>58</v>
      </c>
    </row>
    <row r="2" spans="1:14" x14ac:dyDescent="0.3">
      <c r="A2" s="14">
        <v>1</v>
      </c>
      <c r="B2" s="15" t="s">
        <v>24</v>
      </c>
      <c r="C2" s="15">
        <v>78</v>
      </c>
      <c r="D2" s="15">
        <v>15</v>
      </c>
      <c r="E2" s="15">
        <v>98</v>
      </c>
      <c r="F2" s="15">
        <v>25</v>
      </c>
      <c r="G2" s="15">
        <v>12</v>
      </c>
      <c r="H2" s="15">
        <v>500</v>
      </c>
      <c r="I2" s="15">
        <f>SUM(C2:G2)</f>
        <v>228</v>
      </c>
      <c r="J2" s="15">
        <f>MAX(C2:G2)</f>
        <v>98</v>
      </c>
      <c r="K2" s="15">
        <f>AVERAGE(C2:G2)</f>
        <v>45.6</v>
      </c>
      <c r="L2" s="15">
        <f>MIN(C2:G2)</f>
        <v>12</v>
      </c>
      <c r="M2" s="15">
        <f>I2/H2*100</f>
        <v>45.6</v>
      </c>
      <c r="N2" s="16" t="s">
        <v>62</v>
      </c>
    </row>
    <row r="3" spans="1:14" x14ac:dyDescent="0.3">
      <c r="A3" s="14">
        <v>2</v>
      </c>
      <c r="B3" s="15" t="s">
        <v>25</v>
      </c>
      <c r="C3" s="15">
        <v>95</v>
      </c>
      <c r="D3" s="15">
        <v>89</v>
      </c>
      <c r="E3" s="15">
        <v>23</v>
      </c>
      <c r="F3" s="15">
        <v>27</v>
      </c>
      <c r="G3" s="15">
        <v>35</v>
      </c>
      <c r="H3" s="15">
        <v>500</v>
      </c>
      <c r="I3" s="15">
        <f t="shared" ref="I3:I31" si="0">SUM(C3:G3)</f>
        <v>269</v>
      </c>
      <c r="J3" s="15">
        <f t="shared" ref="J3:J31" si="1">MAX(C3:G3)</f>
        <v>95</v>
      </c>
      <c r="K3" s="15">
        <f t="shared" ref="K3:K31" si="2">AVERAGE(C3:G3)</f>
        <v>53.8</v>
      </c>
      <c r="L3" s="15">
        <f t="shared" ref="L3:L31" si="3">MIN(C3:G3)</f>
        <v>23</v>
      </c>
      <c r="M3" s="15">
        <f t="shared" ref="M3:M31" si="4">I3/H3*100</f>
        <v>53.800000000000004</v>
      </c>
      <c r="N3" s="16" t="s">
        <v>61</v>
      </c>
    </row>
    <row r="4" spans="1:14" x14ac:dyDescent="0.3">
      <c r="A4" s="14">
        <v>3</v>
      </c>
      <c r="B4" s="15" t="s">
        <v>26</v>
      </c>
      <c r="C4" s="15">
        <v>52</v>
      </c>
      <c r="D4" s="15">
        <v>41</v>
      </c>
      <c r="E4" s="15">
        <v>15</v>
      </c>
      <c r="F4" s="15">
        <v>0</v>
      </c>
      <c r="G4" s="15">
        <v>15</v>
      </c>
      <c r="H4" s="15">
        <v>500</v>
      </c>
      <c r="I4" s="15">
        <f t="shared" si="0"/>
        <v>123</v>
      </c>
      <c r="J4" s="15">
        <f t="shared" si="1"/>
        <v>52</v>
      </c>
      <c r="K4" s="15">
        <f t="shared" si="2"/>
        <v>24.6</v>
      </c>
      <c r="L4" s="15">
        <f t="shared" si="3"/>
        <v>0</v>
      </c>
      <c r="M4" s="15">
        <f t="shared" si="4"/>
        <v>24.6</v>
      </c>
      <c r="N4" s="16" t="s">
        <v>64</v>
      </c>
    </row>
    <row r="5" spans="1:14" x14ac:dyDescent="0.3">
      <c r="A5" s="14">
        <v>4</v>
      </c>
      <c r="B5" s="15" t="s">
        <v>27</v>
      </c>
      <c r="C5" s="15">
        <v>62</v>
      </c>
      <c r="D5" s="15">
        <v>54</v>
      </c>
      <c r="E5" s="15">
        <v>89</v>
      </c>
      <c r="F5" s="15">
        <v>1</v>
      </c>
      <c r="G5" s="15">
        <v>89</v>
      </c>
      <c r="H5" s="15">
        <v>500</v>
      </c>
      <c r="I5" s="15">
        <f t="shared" si="0"/>
        <v>295</v>
      </c>
      <c r="J5" s="15">
        <f t="shared" si="1"/>
        <v>89</v>
      </c>
      <c r="K5" s="15">
        <f t="shared" si="2"/>
        <v>59</v>
      </c>
      <c r="L5" s="15">
        <f t="shared" si="3"/>
        <v>1</v>
      </c>
      <c r="M5" s="15">
        <f t="shared" si="4"/>
        <v>59</v>
      </c>
      <c r="N5" s="16" t="s">
        <v>61</v>
      </c>
    </row>
    <row r="6" spans="1:14" x14ac:dyDescent="0.3">
      <c r="A6" s="14">
        <v>5</v>
      </c>
      <c r="B6" s="15" t="s">
        <v>28</v>
      </c>
      <c r="C6" s="15">
        <v>35</v>
      </c>
      <c r="D6" s="15">
        <v>96</v>
      </c>
      <c r="E6" s="15">
        <v>41</v>
      </c>
      <c r="F6" s="15">
        <v>2</v>
      </c>
      <c r="G6" s="15">
        <v>41</v>
      </c>
      <c r="H6" s="15">
        <v>500</v>
      </c>
      <c r="I6" s="15">
        <f t="shared" si="0"/>
        <v>215</v>
      </c>
      <c r="J6" s="15">
        <f t="shared" si="1"/>
        <v>96</v>
      </c>
      <c r="K6" s="15">
        <f t="shared" si="2"/>
        <v>43</v>
      </c>
      <c r="L6" s="15">
        <f t="shared" si="3"/>
        <v>2</v>
      </c>
      <c r="M6" s="15">
        <f t="shared" si="4"/>
        <v>43</v>
      </c>
      <c r="N6" s="16" t="s">
        <v>62</v>
      </c>
    </row>
    <row r="7" spans="1:14" x14ac:dyDescent="0.3">
      <c r="A7" s="14">
        <v>6</v>
      </c>
      <c r="B7" s="15" t="s">
        <v>29</v>
      </c>
      <c r="C7" s="15">
        <v>15</v>
      </c>
      <c r="D7" s="15">
        <v>89</v>
      </c>
      <c r="E7" s="15">
        <v>54</v>
      </c>
      <c r="F7" s="15">
        <v>15</v>
      </c>
      <c r="G7" s="15">
        <v>54</v>
      </c>
      <c r="H7" s="15">
        <v>500</v>
      </c>
      <c r="I7" s="15">
        <f t="shared" si="0"/>
        <v>227</v>
      </c>
      <c r="J7" s="15">
        <f t="shared" si="1"/>
        <v>89</v>
      </c>
      <c r="K7" s="15">
        <f t="shared" si="2"/>
        <v>45.4</v>
      </c>
      <c r="L7" s="15">
        <f t="shared" si="3"/>
        <v>15</v>
      </c>
      <c r="M7" s="15">
        <f t="shared" si="4"/>
        <v>45.4</v>
      </c>
      <c r="N7" s="16" t="s">
        <v>62</v>
      </c>
    </row>
    <row r="8" spans="1:14" x14ac:dyDescent="0.3">
      <c r="A8" s="14">
        <v>7</v>
      </c>
      <c r="B8" s="15" t="s">
        <v>30</v>
      </c>
      <c r="C8" s="15">
        <v>89</v>
      </c>
      <c r="D8" s="15">
        <v>41</v>
      </c>
      <c r="E8" s="15">
        <v>96</v>
      </c>
      <c r="F8" s="15">
        <v>40</v>
      </c>
      <c r="G8" s="15">
        <v>96</v>
      </c>
      <c r="H8" s="15">
        <v>500</v>
      </c>
      <c r="I8" s="15">
        <f t="shared" si="0"/>
        <v>362</v>
      </c>
      <c r="J8" s="15">
        <f t="shared" si="1"/>
        <v>96</v>
      </c>
      <c r="K8" s="15">
        <f t="shared" si="2"/>
        <v>72.400000000000006</v>
      </c>
      <c r="L8" s="15">
        <f t="shared" si="3"/>
        <v>40</v>
      </c>
      <c r="M8" s="15">
        <f t="shared" si="4"/>
        <v>72.399999999999991</v>
      </c>
      <c r="N8" s="16" t="s">
        <v>60</v>
      </c>
    </row>
    <row r="9" spans="1:14" x14ac:dyDescent="0.3">
      <c r="A9" s="14">
        <v>8</v>
      </c>
      <c r="B9" s="15" t="s">
        <v>31</v>
      </c>
      <c r="C9" s="15">
        <v>41</v>
      </c>
      <c r="D9" s="15">
        <v>98</v>
      </c>
      <c r="E9" s="15">
        <v>89</v>
      </c>
      <c r="F9" s="15">
        <v>100</v>
      </c>
      <c r="G9" s="15">
        <v>89</v>
      </c>
      <c r="H9" s="15">
        <v>500</v>
      </c>
      <c r="I9" s="15">
        <f t="shared" si="0"/>
        <v>417</v>
      </c>
      <c r="J9" s="15">
        <f t="shared" si="1"/>
        <v>100</v>
      </c>
      <c r="K9" s="15">
        <f t="shared" si="2"/>
        <v>83.4</v>
      </c>
      <c r="L9" s="15">
        <f t="shared" si="3"/>
        <v>41</v>
      </c>
      <c r="M9" s="15">
        <f t="shared" si="4"/>
        <v>83.399999999999991</v>
      </c>
      <c r="N9" s="16" t="s">
        <v>59</v>
      </c>
    </row>
    <row r="10" spans="1:14" x14ac:dyDescent="0.3">
      <c r="A10" s="14">
        <v>9</v>
      </c>
      <c r="B10" s="15" t="s">
        <v>32</v>
      </c>
      <c r="C10" s="15">
        <v>54</v>
      </c>
      <c r="D10" s="15">
        <v>23</v>
      </c>
      <c r="E10" s="15">
        <v>41</v>
      </c>
      <c r="F10" s="15">
        <v>0</v>
      </c>
      <c r="G10" s="15">
        <v>41</v>
      </c>
      <c r="H10" s="15">
        <v>500</v>
      </c>
      <c r="I10" s="15">
        <f t="shared" si="0"/>
        <v>159</v>
      </c>
      <c r="J10" s="15">
        <f t="shared" si="1"/>
        <v>54</v>
      </c>
      <c r="K10" s="15">
        <f t="shared" si="2"/>
        <v>31.8</v>
      </c>
      <c r="L10" s="15">
        <f t="shared" si="3"/>
        <v>0</v>
      </c>
      <c r="M10" s="15">
        <f t="shared" si="4"/>
        <v>31.8</v>
      </c>
      <c r="N10" s="16" t="s">
        <v>63</v>
      </c>
    </row>
    <row r="11" spans="1:14" x14ac:dyDescent="0.3">
      <c r="A11" s="14">
        <v>10</v>
      </c>
      <c r="B11" s="15" t="s">
        <v>33</v>
      </c>
      <c r="C11" s="15">
        <v>96</v>
      </c>
      <c r="D11" s="15">
        <v>66</v>
      </c>
      <c r="E11" s="15">
        <v>98</v>
      </c>
      <c r="F11" s="15">
        <v>1</v>
      </c>
      <c r="G11" s="15">
        <v>98</v>
      </c>
      <c r="H11" s="15">
        <v>500</v>
      </c>
      <c r="I11" s="15">
        <f t="shared" si="0"/>
        <v>359</v>
      </c>
      <c r="J11" s="15">
        <f t="shared" si="1"/>
        <v>98</v>
      </c>
      <c r="K11" s="15">
        <f t="shared" si="2"/>
        <v>71.8</v>
      </c>
      <c r="L11" s="15">
        <f t="shared" si="3"/>
        <v>1</v>
      </c>
      <c r="M11" s="15">
        <f t="shared" si="4"/>
        <v>71.8</v>
      </c>
      <c r="N11" s="16" t="s">
        <v>60</v>
      </c>
    </row>
    <row r="12" spans="1:14" x14ac:dyDescent="0.3">
      <c r="A12" s="14">
        <v>11</v>
      </c>
      <c r="B12" s="15" t="s">
        <v>34</v>
      </c>
      <c r="C12" s="15">
        <v>52</v>
      </c>
      <c r="D12" s="15">
        <v>25</v>
      </c>
      <c r="E12" s="15">
        <v>23</v>
      </c>
      <c r="F12" s="15">
        <v>2</v>
      </c>
      <c r="G12" s="15">
        <v>23</v>
      </c>
      <c r="H12" s="15">
        <v>500</v>
      </c>
      <c r="I12" s="15">
        <f t="shared" si="0"/>
        <v>125</v>
      </c>
      <c r="J12" s="15">
        <f t="shared" si="1"/>
        <v>52</v>
      </c>
      <c r="K12" s="15">
        <f t="shared" si="2"/>
        <v>25</v>
      </c>
      <c r="L12" s="15">
        <f t="shared" si="3"/>
        <v>2</v>
      </c>
      <c r="M12" s="15">
        <f t="shared" si="4"/>
        <v>25</v>
      </c>
      <c r="N12" s="16" t="s">
        <v>64</v>
      </c>
    </row>
    <row r="13" spans="1:14" x14ac:dyDescent="0.3">
      <c r="A13" s="14">
        <v>12</v>
      </c>
      <c r="B13" s="15" t="s">
        <v>35</v>
      </c>
      <c r="C13" s="15">
        <v>62</v>
      </c>
      <c r="D13" s="15">
        <v>39</v>
      </c>
      <c r="E13" s="15">
        <v>66</v>
      </c>
      <c r="F13" s="15">
        <v>15</v>
      </c>
      <c r="G13" s="15">
        <v>66</v>
      </c>
      <c r="H13" s="15">
        <v>500</v>
      </c>
      <c r="I13" s="15">
        <f t="shared" si="0"/>
        <v>248</v>
      </c>
      <c r="J13" s="15">
        <f t="shared" si="1"/>
        <v>66</v>
      </c>
      <c r="K13" s="15">
        <f t="shared" si="2"/>
        <v>49.6</v>
      </c>
      <c r="L13" s="15">
        <f t="shared" si="3"/>
        <v>15</v>
      </c>
      <c r="M13" s="15">
        <f t="shared" si="4"/>
        <v>49.6</v>
      </c>
      <c r="N13" s="16" t="s">
        <v>62</v>
      </c>
    </row>
    <row r="14" spans="1:14" x14ac:dyDescent="0.3">
      <c r="A14" s="14">
        <v>13</v>
      </c>
      <c r="B14" s="15" t="s">
        <v>36</v>
      </c>
      <c r="C14" s="15">
        <v>35</v>
      </c>
      <c r="D14" s="15">
        <v>40</v>
      </c>
      <c r="E14" s="15">
        <v>25</v>
      </c>
      <c r="F14" s="15">
        <v>25</v>
      </c>
      <c r="G14" s="15">
        <v>25</v>
      </c>
      <c r="H14" s="15">
        <v>500</v>
      </c>
      <c r="I14" s="15">
        <f t="shared" si="0"/>
        <v>150</v>
      </c>
      <c r="J14" s="15">
        <f t="shared" si="1"/>
        <v>40</v>
      </c>
      <c r="K14" s="15">
        <f t="shared" si="2"/>
        <v>30</v>
      </c>
      <c r="L14" s="15">
        <f t="shared" si="3"/>
        <v>25</v>
      </c>
      <c r="M14" s="15">
        <f t="shared" si="4"/>
        <v>30</v>
      </c>
      <c r="N14" s="16" t="s">
        <v>63</v>
      </c>
    </row>
    <row r="15" spans="1:14" x14ac:dyDescent="0.3">
      <c r="A15" s="14">
        <v>14</v>
      </c>
      <c r="B15" s="15" t="s">
        <v>37</v>
      </c>
      <c r="C15" s="15">
        <v>15</v>
      </c>
      <c r="D15" s="15">
        <v>100</v>
      </c>
      <c r="E15" s="15">
        <v>39</v>
      </c>
      <c r="F15" s="15">
        <v>19</v>
      </c>
      <c r="G15" s="15">
        <v>39</v>
      </c>
      <c r="H15" s="15">
        <v>500</v>
      </c>
      <c r="I15" s="15">
        <f t="shared" si="0"/>
        <v>212</v>
      </c>
      <c r="J15" s="15">
        <f t="shared" si="1"/>
        <v>100</v>
      </c>
      <c r="K15" s="15">
        <f t="shared" si="2"/>
        <v>42.4</v>
      </c>
      <c r="L15" s="15">
        <f t="shared" si="3"/>
        <v>15</v>
      </c>
      <c r="M15" s="15">
        <f t="shared" si="4"/>
        <v>42.4</v>
      </c>
      <c r="N15" s="16" t="s">
        <v>62</v>
      </c>
    </row>
    <row r="16" spans="1:14" x14ac:dyDescent="0.3">
      <c r="A16" s="14">
        <v>15</v>
      </c>
      <c r="B16" s="15" t="s">
        <v>38</v>
      </c>
      <c r="C16" s="15">
        <v>89</v>
      </c>
      <c r="D16" s="15">
        <v>98</v>
      </c>
      <c r="E16" s="15">
        <v>40</v>
      </c>
      <c r="F16" s="15">
        <v>20</v>
      </c>
      <c r="G16" s="15">
        <v>40</v>
      </c>
      <c r="H16" s="15">
        <v>500</v>
      </c>
      <c r="I16" s="15">
        <f t="shared" si="0"/>
        <v>287</v>
      </c>
      <c r="J16" s="15">
        <f t="shared" si="1"/>
        <v>98</v>
      </c>
      <c r="K16" s="15">
        <f t="shared" si="2"/>
        <v>57.4</v>
      </c>
      <c r="L16" s="15">
        <f t="shared" si="3"/>
        <v>20</v>
      </c>
      <c r="M16" s="15">
        <f t="shared" si="4"/>
        <v>57.4</v>
      </c>
      <c r="N16" s="16" t="s">
        <v>61</v>
      </c>
    </row>
    <row r="17" spans="1:14" x14ac:dyDescent="0.3">
      <c r="A17" s="14">
        <v>16</v>
      </c>
      <c r="B17" s="15" t="s">
        <v>39</v>
      </c>
      <c r="C17" s="15">
        <v>41</v>
      </c>
      <c r="D17" s="15">
        <v>23</v>
      </c>
      <c r="E17" s="15">
        <v>100</v>
      </c>
      <c r="F17" s="15">
        <v>21</v>
      </c>
      <c r="G17" s="15">
        <v>100</v>
      </c>
      <c r="H17" s="15">
        <v>500</v>
      </c>
      <c r="I17" s="15">
        <f t="shared" si="0"/>
        <v>285</v>
      </c>
      <c r="J17" s="15">
        <f t="shared" si="1"/>
        <v>100</v>
      </c>
      <c r="K17" s="15">
        <f t="shared" si="2"/>
        <v>57</v>
      </c>
      <c r="L17" s="15">
        <f t="shared" si="3"/>
        <v>21</v>
      </c>
      <c r="M17" s="15">
        <f t="shared" si="4"/>
        <v>56.999999999999993</v>
      </c>
      <c r="N17" s="16" t="s">
        <v>61</v>
      </c>
    </row>
    <row r="18" spans="1:14" x14ac:dyDescent="0.3">
      <c r="A18" s="14">
        <v>17</v>
      </c>
      <c r="B18" s="15" t="s">
        <v>40</v>
      </c>
      <c r="C18" s="15">
        <v>98</v>
      </c>
      <c r="D18" s="15">
        <v>15</v>
      </c>
      <c r="E18" s="15">
        <v>0</v>
      </c>
      <c r="F18" s="15">
        <v>15</v>
      </c>
      <c r="G18" s="15">
        <v>0</v>
      </c>
      <c r="H18" s="15">
        <v>500</v>
      </c>
      <c r="I18" s="15">
        <f t="shared" si="0"/>
        <v>128</v>
      </c>
      <c r="J18" s="15">
        <f t="shared" si="1"/>
        <v>98</v>
      </c>
      <c r="K18" s="15">
        <f t="shared" si="2"/>
        <v>25.6</v>
      </c>
      <c r="L18" s="15">
        <f t="shared" si="3"/>
        <v>0</v>
      </c>
      <c r="M18" s="15">
        <f t="shared" si="4"/>
        <v>25.6</v>
      </c>
      <c r="N18" s="16" t="s">
        <v>64</v>
      </c>
    </row>
    <row r="19" spans="1:14" x14ac:dyDescent="0.3">
      <c r="A19" s="14">
        <v>18</v>
      </c>
      <c r="B19" s="15" t="s">
        <v>41</v>
      </c>
      <c r="C19" s="15">
        <v>23</v>
      </c>
      <c r="D19" s="15">
        <v>89</v>
      </c>
      <c r="E19" s="15">
        <v>1</v>
      </c>
      <c r="F19" s="15">
        <v>89</v>
      </c>
      <c r="G19" s="15">
        <v>1</v>
      </c>
      <c r="H19" s="15">
        <v>500</v>
      </c>
      <c r="I19" s="15">
        <f t="shared" si="0"/>
        <v>203</v>
      </c>
      <c r="J19" s="15">
        <f t="shared" si="1"/>
        <v>89</v>
      </c>
      <c r="K19" s="15">
        <f t="shared" si="2"/>
        <v>40.6</v>
      </c>
      <c r="L19" s="15">
        <f t="shared" si="3"/>
        <v>1</v>
      </c>
      <c r="M19" s="15">
        <f t="shared" si="4"/>
        <v>40.6</v>
      </c>
      <c r="N19" s="16" t="s">
        <v>62</v>
      </c>
    </row>
    <row r="20" spans="1:14" x14ac:dyDescent="0.3">
      <c r="A20" s="14">
        <v>19</v>
      </c>
      <c r="B20" s="15" t="s">
        <v>42</v>
      </c>
      <c r="C20" s="15">
        <v>62</v>
      </c>
      <c r="D20" s="15">
        <v>41</v>
      </c>
      <c r="E20" s="15">
        <v>2</v>
      </c>
      <c r="F20" s="15">
        <v>41</v>
      </c>
      <c r="G20" s="15">
        <v>2</v>
      </c>
      <c r="H20" s="15">
        <v>500</v>
      </c>
      <c r="I20" s="15">
        <f t="shared" si="0"/>
        <v>148</v>
      </c>
      <c r="J20" s="15">
        <f t="shared" si="1"/>
        <v>62</v>
      </c>
      <c r="K20" s="15">
        <f t="shared" si="2"/>
        <v>29.6</v>
      </c>
      <c r="L20" s="15">
        <f t="shared" si="3"/>
        <v>2</v>
      </c>
      <c r="M20" s="15">
        <f t="shared" si="4"/>
        <v>29.599999999999998</v>
      </c>
      <c r="N20" s="16" t="s">
        <v>64</v>
      </c>
    </row>
    <row r="21" spans="1:14" x14ac:dyDescent="0.3">
      <c r="A21" s="14">
        <v>20</v>
      </c>
      <c r="B21" s="15" t="s">
        <v>43</v>
      </c>
      <c r="C21" s="15">
        <v>35</v>
      </c>
      <c r="D21" s="15">
        <v>12</v>
      </c>
      <c r="E21" s="15">
        <v>15</v>
      </c>
      <c r="F21" s="15">
        <v>54</v>
      </c>
      <c r="G21" s="15">
        <v>15</v>
      </c>
      <c r="H21" s="15">
        <v>500</v>
      </c>
      <c r="I21" s="15">
        <f t="shared" si="0"/>
        <v>131</v>
      </c>
      <c r="J21" s="15">
        <f t="shared" si="1"/>
        <v>54</v>
      </c>
      <c r="K21" s="15">
        <f t="shared" si="2"/>
        <v>26.2</v>
      </c>
      <c r="L21" s="15">
        <f t="shared" si="3"/>
        <v>12</v>
      </c>
      <c r="M21" s="15">
        <f t="shared" si="4"/>
        <v>26.200000000000003</v>
      </c>
      <c r="N21" s="16" t="s">
        <v>64</v>
      </c>
    </row>
    <row r="22" spans="1:14" x14ac:dyDescent="0.3">
      <c r="A22" s="14">
        <v>21</v>
      </c>
      <c r="B22" s="15" t="s">
        <v>25</v>
      </c>
      <c r="C22" s="15">
        <v>15</v>
      </c>
      <c r="D22" s="15">
        <v>35</v>
      </c>
      <c r="E22" s="15">
        <v>15</v>
      </c>
      <c r="F22" s="15">
        <v>96</v>
      </c>
      <c r="G22" s="15">
        <v>25</v>
      </c>
      <c r="H22" s="15">
        <v>500</v>
      </c>
      <c r="I22" s="15">
        <f t="shared" si="0"/>
        <v>186</v>
      </c>
      <c r="J22" s="15">
        <f t="shared" si="1"/>
        <v>96</v>
      </c>
      <c r="K22" s="15">
        <f t="shared" si="2"/>
        <v>37.200000000000003</v>
      </c>
      <c r="L22" s="15">
        <f t="shared" si="3"/>
        <v>15</v>
      </c>
      <c r="M22" s="15">
        <f t="shared" si="4"/>
        <v>37.200000000000003</v>
      </c>
      <c r="N22" s="16" t="s">
        <v>63</v>
      </c>
    </row>
    <row r="23" spans="1:14" x14ac:dyDescent="0.3">
      <c r="A23" s="14">
        <v>22</v>
      </c>
      <c r="B23" s="15" t="s">
        <v>44</v>
      </c>
      <c r="C23" s="15">
        <v>89</v>
      </c>
      <c r="D23" s="15">
        <v>15</v>
      </c>
      <c r="E23" s="15">
        <v>89</v>
      </c>
      <c r="F23" s="15">
        <v>89</v>
      </c>
      <c r="G23" s="15">
        <v>27</v>
      </c>
      <c r="H23" s="15">
        <v>500</v>
      </c>
      <c r="I23" s="15">
        <f t="shared" si="0"/>
        <v>309</v>
      </c>
      <c r="J23" s="15">
        <f t="shared" si="1"/>
        <v>89</v>
      </c>
      <c r="K23" s="15">
        <f t="shared" si="2"/>
        <v>61.8</v>
      </c>
      <c r="L23" s="15">
        <f t="shared" si="3"/>
        <v>15</v>
      </c>
      <c r="M23" s="15">
        <f t="shared" si="4"/>
        <v>61.8</v>
      </c>
      <c r="N23" s="16" t="s">
        <v>60</v>
      </c>
    </row>
    <row r="24" spans="1:14" x14ac:dyDescent="0.3">
      <c r="A24" s="14">
        <v>23</v>
      </c>
      <c r="B24" s="15" t="s">
        <v>45</v>
      </c>
      <c r="C24" s="15">
        <v>41</v>
      </c>
      <c r="D24" s="15">
        <v>89</v>
      </c>
      <c r="E24" s="15">
        <v>41</v>
      </c>
      <c r="F24" s="15">
        <v>41</v>
      </c>
      <c r="G24" s="15">
        <v>0</v>
      </c>
      <c r="H24" s="15">
        <v>500</v>
      </c>
      <c r="I24" s="15">
        <f t="shared" si="0"/>
        <v>212</v>
      </c>
      <c r="J24" s="15">
        <f t="shared" si="1"/>
        <v>89</v>
      </c>
      <c r="K24" s="15">
        <f t="shared" si="2"/>
        <v>42.4</v>
      </c>
      <c r="L24" s="15">
        <f t="shared" si="3"/>
        <v>0</v>
      </c>
      <c r="M24" s="15">
        <f t="shared" si="4"/>
        <v>42.4</v>
      </c>
      <c r="N24" s="16" t="s">
        <v>62</v>
      </c>
    </row>
    <row r="25" spans="1:14" x14ac:dyDescent="0.3">
      <c r="A25" s="14">
        <v>24</v>
      </c>
      <c r="B25" s="15" t="s">
        <v>46</v>
      </c>
      <c r="C25" s="15">
        <v>98</v>
      </c>
      <c r="D25" s="15">
        <v>95</v>
      </c>
      <c r="E25" s="15">
        <v>54</v>
      </c>
      <c r="F25" s="15">
        <v>98</v>
      </c>
      <c r="G25" s="15">
        <v>1</v>
      </c>
      <c r="H25" s="15">
        <v>500</v>
      </c>
      <c r="I25" s="15">
        <f t="shared" si="0"/>
        <v>346</v>
      </c>
      <c r="J25" s="15">
        <f t="shared" si="1"/>
        <v>98</v>
      </c>
      <c r="K25" s="15">
        <f t="shared" si="2"/>
        <v>69.2</v>
      </c>
      <c r="L25" s="15">
        <f t="shared" si="3"/>
        <v>1</v>
      </c>
      <c r="M25" s="15">
        <f t="shared" si="4"/>
        <v>69.199999999999989</v>
      </c>
      <c r="N25" s="16" t="s">
        <v>60</v>
      </c>
    </row>
    <row r="26" spans="1:14" x14ac:dyDescent="0.3">
      <c r="A26" s="14">
        <v>25</v>
      </c>
      <c r="B26" s="15" t="s">
        <v>47</v>
      </c>
      <c r="C26" s="15">
        <v>23</v>
      </c>
      <c r="D26" s="15">
        <v>52</v>
      </c>
      <c r="E26" s="15">
        <v>41</v>
      </c>
      <c r="F26" s="15">
        <v>23</v>
      </c>
      <c r="G26" s="15">
        <v>2</v>
      </c>
      <c r="H26" s="15">
        <v>500</v>
      </c>
      <c r="I26" s="15">
        <f t="shared" si="0"/>
        <v>141</v>
      </c>
      <c r="J26" s="15">
        <f t="shared" si="1"/>
        <v>52</v>
      </c>
      <c r="K26" s="15">
        <f t="shared" si="2"/>
        <v>28.2</v>
      </c>
      <c r="L26" s="15">
        <f t="shared" si="3"/>
        <v>2</v>
      </c>
      <c r="M26" s="15">
        <f t="shared" si="4"/>
        <v>28.199999999999996</v>
      </c>
      <c r="N26" s="16" t="s">
        <v>64</v>
      </c>
    </row>
    <row r="27" spans="1:14" x14ac:dyDescent="0.3">
      <c r="A27" s="14">
        <v>26</v>
      </c>
      <c r="B27" s="15" t="s">
        <v>48</v>
      </c>
      <c r="C27" s="15">
        <v>66</v>
      </c>
      <c r="D27" s="15">
        <v>62</v>
      </c>
      <c r="E27" s="15">
        <v>98</v>
      </c>
      <c r="F27" s="15">
        <v>66</v>
      </c>
      <c r="G27" s="15">
        <v>15</v>
      </c>
      <c r="H27" s="15">
        <v>500</v>
      </c>
      <c r="I27" s="15">
        <f t="shared" si="0"/>
        <v>307</v>
      </c>
      <c r="J27" s="15">
        <f t="shared" si="1"/>
        <v>98</v>
      </c>
      <c r="K27" s="15">
        <f t="shared" si="2"/>
        <v>61.4</v>
      </c>
      <c r="L27" s="15">
        <f t="shared" si="3"/>
        <v>15</v>
      </c>
      <c r="M27" s="15">
        <f t="shared" si="4"/>
        <v>61.4</v>
      </c>
      <c r="N27" s="16" t="s">
        <v>60</v>
      </c>
    </row>
    <row r="28" spans="1:14" x14ac:dyDescent="0.3">
      <c r="A28" s="14">
        <v>27</v>
      </c>
      <c r="B28" s="15" t="s">
        <v>49</v>
      </c>
      <c r="C28" s="15">
        <v>25</v>
      </c>
      <c r="D28" s="15">
        <v>0</v>
      </c>
      <c r="E28" s="15">
        <v>23</v>
      </c>
      <c r="F28" s="15">
        <v>25</v>
      </c>
      <c r="G28" s="15">
        <v>19</v>
      </c>
      <c r="H28" s="15">
        <v>500</v>
      </c>
      <c r="I28" s="15">
        <f t="shared" si="0"/>
        <v>92</v>
      </c>
      <c r="J28" s="15">
        <f t="shared" si="1"/>
        <v>25</v>
      </c>
      <c r="K28" s="15">
        <f t="shared" si="2"/>
        <v>18.399999999999999</v>
      </c>
      <c r="L28" s="15">
        <f t="shared" si="3"/>
        <v>0</v>
      </c>
      <c r="M28" s="15">
        <f t="shared" si="4"/>
        <v>18.399999999999999</v>
      </c>
      <c r="N28" s="16" t="s">
        <v>64</v>
      </c>
    </row>
    <row r="29" spans="1:14" x14ac:dyDescent="0.3">
      <c r="A29" s="14">
        <v>28</v>
      </c>
      <c r="B29" s="15" t="s">
        <v>50</v>
      </c>
      <c r="C29" s="15">
        <v>39</v>
      </c>
      <c r="D29" s="15">
        <v>1</v>
      </c>
      <c r="E29" s="15">
        <v>62</v>
      </c>
      <c r="F29" s="15">
        <v>39</v>
      </c>
      <c r="G29" s="15">
        <v>20</v>
      </c>
      <c r="H29" s="15">
        <v>500</v>
      </c>
      <c r="I29" s="15">
        <f t="shared" si="0"/>
        <v>161</v>
      </c>
      <c r="J29" s="15">
        <f t="shared" si="1"/>
        <v>62</v>
      </c>
      <c r="K29" s="15">
        <f t="shared" si="2"/>
        <v>32.200000000000003</v>
      </c>
      <c r="L29" s="15">
        <f t="shared" si="3"/>
        <v>1</v>
      </c>
      <c r="M29" s="15">
        <f t="shared" si="4"/>
        <v>32.200000000000003</v>
      </c>
      <c r="N29" s="16" t="s">
        <v>63</v>
      </c>
    </row>
    <row r="30" spans="1:14" x14ac:dyDescent="0.3">
      <c r="A30" s="14">
        <v>29</v>
      </c>
      <c r="B30" s="15" t="s">
        <v>51</v>
      </c>
      <c r="C30" s="15">
        <v>40</v>
      </c>
      <c r="D30" s="15">
        <v>2</v>
      </c>
      <c r="E30" s="15">
        <v>35</v>
      </c>
      <c r="F30" s="15">
        <v>40</v>
      </c>
      <c r="G30" s="15">
        <v>21</v>
      </c>
      <c r="H30" s="15">
        <v>500</v>
      </c>
      <c r="I30" s="15">
        <f t="shared" si="0"/>
        <v>138</v>
      </c>
      <c r="J30" s="15">
        <f t="shared" si="1"/>
        <v>40</v>
      </c>
      <c r="K30" s="15">
        <f t="shared" si="2"/>
        <v>27.6</v>
      </c>
      <c r="L30" s="15">
        <f t="shared" si="3"/>
        <v>2</v>
      </c>
      <c r="M30" s="15">
        <f t="shared" si="4"/>
        <v>27.6</v>
      </c>
      <c r="N30" s="16" t="s">
        <v>64</v>
      </c>
    </row>
    <row r="31" spans="1:14" x14ac:dyDescent="0.3">
      <c r="A31" s="17">
        <v>30</v>
      </c>
      <c r="B31" s="18" t="s">
        <v>52</v>
      </c>
      <c r="C31" s="18">
        <v>100</v>
      </c>
      <c r="D31" s="18">
        <v>15</v>
      </c>
      <c r="E31" s="18">
        <v>74</v>
      </c>
      <c r="F31" s="18">
        <v>100</v>
      </c>
      <c r="G31" s="18">
        <v>15</v>
      </c>
      <c r="H31" s="18">
        <v>500</v>
      </c>
      <c r="I31" s="18">
        <f t="shared" si="0"/>
        <v>304</v>
      </c>
      <c r="J31" s="18">
        <f t="shared" si="1"/>
        <v>100</v>
      </c>
      <c r="K31" s="18">
        <f t="shared" si="2"/>
        <v>60.8</v>
      </c>
      <c r="L31" s="18">
        <f t="shared" si="3"/>
        <v>15</v>
      </c>
      <c r="M31" s="18">
        <f t="shared" si="4"/>
        <v>60.8</v>
      </c>
      <c r="N31" s="19" t="s">
        <v>60</v>
      </c>
    </row>
    <row r="33" spans="2:3" x14ac:dyDescent="0.3">
      <c r="B33" s="25" t="s">
        <v>67</v>
      </c>
      <c r="C33" s="25"/>
    </row>
    <row r="34" spans="2:3" x14ac:dyDescent="0.3">
      <c r="B34" s="26" t="s">
        <v>59</v>
      </c>
      <c r="C34" s="20"/>
    </row>
    <row r="35" spans="2:3" x14ac:dyDescent="0.3">
      <c r="B35" s="26" t="s">
        <v>60</v>
      </c>
      <c r="C35" s="21"/>
    </row>
    <row r="36" spans="2:3" x14ac:dyDescent="0.3">
      <c r="B36" s="26" t="s">
        <v>61</v>
      </c>
      <c r="C36" s="5"/>
    </row>
    <row r="37" spans="2:3" x14ac:dyDescent="0.3">
      <c r="B37" s="26" t="s">
        <v>62</v>
      </c>
      <c r="C37" s="22"/>
    </row>
    <row r="38" spans="2:3" x14ac:dyDescent="0.3">
      <c r="B38" s="26" t="s">
        <v>63</v>
      </c>
      <c r="C38" s="23"/>
    </row>
    <row r="39" spans="2:3" x14ac:dyDescent="0.3">
      <c r="B39" s="26" t="s">
        <v>64</v>
      </c>
      <c r="C39" s="24"/>
    </row>
  </sheetData>
  <mergeCells count="1">
    <mergeCell ref="B33:C33"/>
  </mergeCells>
  <conditionalFormatting sqref="M2:M31">
    <cfRule type="cellIs" dxfId="12" priority="27" operator="greaterThan">
      <formula>80</formula>
    </cfRule>
  </conditionalFormatting>
  <conditionalFormatting sqref="M1:M31">
    <cfRule type="cellIs" dxfId="11" priority="21" operator="between">
      <formula>20</formula>
      <formula>10</formula>
    </cfRule>
    <cfRule type="cellIs" dxfId="10" priority="22" operator="between">
      <formula>30</formula>
      <formula>20</formula>
    </cfRule>
    <cfRule type="cellIs" dxfId="9" priority="23" operator="between">
      <formula>40</formula>
      <formula>30</formula>
    </cfRule>
    <cfRule type="cellIs" dxfId="8" priority="24" operator="between">
      <formula>50</formula>
      <formula>40</formula>
    </cfRule>
    <cfRule type="cellIs" dxfId="7" priority="25" operator="between">
      <formula>60</formula>
      <formula>50</formula>
    </cfRule>
    <cfRule type="cellIs" dxfId="6" priority="26" operator="lessThan">
      <formula>80</formula>
    </cfRule>
  </conditionalFormatting>
  <conditionalFormatting sqref="N1:N31">
    <cfRule type="containsText" dxfId="5" priority="14" operator="containsText" text="A">
      <formula>NOT(ISERROR(SEARCH("A",N1)))</formula>
    </cfRule>
    <cfRule type="containsText" dxfId="4" priority="15" operator="containsText" text="B">
      <formula>NOT(ISERROR(SEARCH("B",N1)))</formula>
    </cfRule>
    <cfRule type="containsText" dxfId="3" priority="16" operator="containsText" text="C">
      <formula>NOT(ISERROR(SEARCH("C",N1)))</formula>
    </cfRule>
    <cfRule type="containsText" dxfId="2" priority="17" operator="containsText" text="D">
      <formula>NOT(ISERROR(SEARCH("D",N1)))</formula>
    </cfRule>
    <cfRule type="containsText" dxfId="1" priority="18" operator="containsText" text="E">
      <formula>NOT(ISERROR(SEARCH("E",N1)))</formula>
    </cfRule>
    <cfRule type="containsText" dxfId="0" priority="19" operator="containsText" text="F">
      <formula>NOT(ISERROR(SEARCH("F",N1)))</formula>
    </cfRule>
    <cfRule type="dataBar" priority="20">
      <dataBar showValue="0">
        <cfvo type="min"/>
        <cfvo type="max"/>
        <color rgb="FFFF555A"/>
      </dataBar>
      <extLst>
        <ext xmlns:x14="http://schemas.microsoft.com/office/spreadsheetml/2009/9/main" uri="{B025F937-C7B1-47D3-B67F-A62EFF666E3E}">
          <x14:id>{7D544616-B203-4E96-854E-C627D61F3A65}</x14:id>
        </ext>
      </extLst>
    </cfRule>
  </conditionalFormatting>
  <conditionalFormatting sqref="C2:C31">
    <cfRule type="dataBar" priority="13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{3BC4923B-3C77-4BC9-A059-8672AECA4F0B}</x14:id>
        </ext>
      </extLst>
    </cfRule>
  </conditionalFormatting>
  <conditionalFormatting sqref="D2:D31">
    <cfRule type="dataBar" priority="12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{9BF3C9C4-B248-43B2-AC67-4809FC6676F0}</x14:id>
        </ext>
      </extLst>
    </cfRule>
  </conditionalFormatting>
  <conditionalFormatting sqref="E2:E31">
    <cfRule type="dataBar" priority="11">
      <dataBar showValue="0">
        <cfvo type="min"/>
        <cfvo type="max"/>
        <color rgb="FFFF555A"/>
      </dataBar>
      <extLst>
        <ext xmlns:x14="http://schemas.microsoft.com/office/spreadsheetml/2009/9/main" uri="{B025F937-C7B1-47D3-B67F-A62EFF666E3E}">
          <x14:id>{9F70D60A-B946-426D-BD37-8B2C24BF86F7}</x14:id>
        </ext>
      </extLst>
    </cfRule>
  </conditionalFormatting>
  <conditionalFormatting sqref="F2:F31">
    <cfRule type="dataBar" priority="10">
      <dataBar showValue="0">
        <cfvo type="min"/>
        <cfvo type="max"/>
        <color rgb="FFFFB628"/>
      </dataBar>
      <extLst>
        <ext xmlns:x14="http://schemas.microsoft.com/office/spreadsheetml/2009/9/main" uri="{B025F937-C7B1-47D3-B67F-A62EFF666E3E}">
          <x14:id>{CB7C5D22-A267-4084-8297-9B547D78D3E3}</x14:id>
        </ext>
      </extLst>
    </cfRule>
  </conditionalFormatting>
  <conditionalFormatting sqref="G2:G31">
    <cfRule type="dataBar" priority="9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{B647A8C7-C9A8-44D8-B862-DDC2A83FE6EA}</x14:id>
        </ext>
      </extLst>
    </cfRule>
  </conditionalFormatting>
  <conditionalFormatting sqref="H2:H31">
    <cfRule type="dataBar" priority="6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{E50AEB75-45D4-4E02-BC2E-FA52E99FDA02}</x14:id>
        </ext>
      </extLst>
    </cfRule>
  </conditionalFormatting>
  <conditionalFormatting sqref="I2:I31">
    <cfRule type="dataBar" priority="7">
      <dataBar showValue="0">
        <cfvo type="min"/>
        <cfvo type="max"/>
        <color rgb="FFD6007B"/>
      </dataBar>
      <extLst>
        <ext xmlns:x14="http://schemas.microsoft.com/office/spreadsheetml/2009/9/main" uri="{B025F937-C7B1-47D3-B67F-A62EFF666E3E}">
          <x14:id>{20B3401B-DC5F-47F5-BEE3-FD8B47D62670}</x14:id>
        </ext>
      </extLst>
    </cfRule>
  </conditionalFormatting>
  <conditionalFormatting sqref="J2:J31">
    <cfRule type="dataBar" priority="5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{ABE1D65F-99A7-4689-9A6E-292BA66E3CFF}</x14:id>
        </ext>
      </extLst>
    </cfRule>
  </conditionalFormatting>
  <conditionalFormatting sqref="K2:K31">
    <cfRule type="dataBar" priority="4">
      <dataBar showValue="0">
        <cfvo type="min"/>
        <cfvo type="max"/>
        <color rgb="FFFF555A"/>
      </dataBar>
      <extLst>
        <ext xmlns:x14="http://schemas.microsoft.com/office/spreadsheetml/2009/9/main" uri="{B025F937-C7B1-47D3-B67F-A62EFF666E3E}">
          <x14:id>{187988D8-935B-4D1E-A0A7-4D37820297BE}</x14:id>
        </ext>
      </extLst>
    </cfRule>
  </conditionalFormatting>
  <conditionalFormatting sqref="L2:L31">
    <cfRule type="dataBar" priority="3">
      <dataBar showValue="0">
        <cfvo type="min"/>
        <cfvo type="max"/>
        <color rgb="FFD6007B"/>
      </dataBar>
      <extLst>
        <ext xmlns:x14="http://schemas.microsoft.com/office/spreadsheetml/2009/9/main" uri="{B025F937-C7B1-47D3-B67F-A62EFF666E3E}">
          <x14:id>{21F695F6-5E07-4E14-8BE4-8792FDD401C9}</x14:id>
        </ext>
      </extLst>
    </cfRule>
  </conditionalFormatting>
  <conditionalFormatting sqref="B2:B31">
    <cfRule type="iconSet" priority="2">
      <iconSet showValue="0">
        <cfvo type="percent" val="0"/>
        <cfvo type="percent" val="33"/>
        <cfvo type="percent" val="67"/>
      </iconSet>
    </cfRule>
  </conditionalFormatting>
  <conditionalFormatting sqref="A2:A31">
    <cfRule type="iconSet" priority="1">
      <iconSet iconSet="5Rating" showValue="0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544616-B203-4E96-854E-C627D61F3A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N1:N31</xm:sqref>
        </x14:conditionalFormatting>
        <x14:conditionalFormatting xmlns:xm="http://schemas.microsoft.com/office/excel/2006/main">
          <x14:cfRule type="dataBar" id="{3BC4923B-3C77-4BC9-A059-8672AECA4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C2:C31</xm:sqref>
        </x14:conditionalFormatting>
        <x14:conditionalFormatting xmlns:xm="http://schemas.microsoft.com/office/excel/2006/main">
          <x14:cfRule type="dataBar" id="{9BF3C9C4-B248-43B2-AC67-4809FC6676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D2:D31</xm:sqref>
        </x14:conditionalFormatting>
        <x14:conditionalFormatting xmlns:xm="http://schemas.microsoft.com/office/excel/2006/main">
          <x14:cfRule type="dataBar" id="{9F70D60A-B946-426D-BD37-8B2C24BF86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E2:E31</xm:sqref>
        </x14:conditionalFormatting>
        <x14:conditionalFormatting xmlns:xm="http://schemas.microsoft.com/office/excel/2006/main">
          <x14:cfRule type="dataBar" id="{CB7C5D22-A267-4084-8297-9B547D78D3E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F2:F31</xm:sqref>
        </x14:conditionalFormatting>
        <x14:conditionalFormatting xmlns:xm="http://schemas.microsoft.com/office/excel/2006/main">
          <x14:cfRule type="dataBar" id="{B647A8C7-C9A8-44D8-B862-DDC2A83FE6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G2:G31</xm:sqref>
        </x14:conditionalFormatting>
        <x14:conditionalFormatting xmlns:xm="http://schemas.microsoft.com/office/excel/2006/main">
          <x14:cfRule type="dataBar" id="{E50AEB75-45D4-4E02-BC2E-FA52E99FDA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H2:H31</xm:sqref>
        </x14:conditionalFormatting>
        <x14:conditionalFormatting xmlns:xm="http://schemas.microsoft.com/office/excel/2006/main">
          <x14:cfRule type="dataBar" id="{20B3401B-DC5F-47F5-BEE3-FD8B47D6267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I2:I31</xm:sqref>
        </x14:conditionalFormatting>
        <x14:conditionalFormatting xmlns:xm="http://schemas.microsoft.com/office/excel/2006/main">
          <x14:cfRule type="dataBar" id="{ABE1D65F-99A7-4689-9A6E-292BA66E3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J2:J31</xm:sqref>
        </x14:conditionalFormatting>
        <x14:conditionalFormatting xmlns:xm="http://schemas.microsoft.com/office/excel/2006/main">
          <x14:cfRule type="dataBar" id="{187988D8-935B-4D1E-A0A7-4D37820297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K2:K31</xm:sqref>
        </x14:conditionalFormatting>
        <x14:conditionalFormatting xmlns:xm="http://schemas.microsoft.com/office/excel/2006/main">
          <x14:cfRule type="dataBar" id="{21F695F6-5E07-4E14-8BE4-8792FDD401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L2:L31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4B62-92D4-402B-9CAD-8B0711689C99}">
  <dimension ref="A1:B16"/>
  <sheetViews>
    <sheetView tabSelected="1" workbookViewId="0">
      <selection activeCell="B17" sqref="B17"/>
    </sheetView>
  </sheetViews>
  <sheetFormatPr defaultRowHeight="14.4" x14ac:dyDescent="0.3"/>
  <cols>
    <col min="1" max="1" width="12.21875" customWidth="1"/>
    <col min="2" max="2" width="14.6640625" customWidth="1"/>
  </cols>
  <sheetData>
    <row r="1" spans="1:2" x14ac:dyDescent="0.3">
      <c r="A1" t="s">
        <v>69</v>
      </c>
      <c r="B1" s="1" t="s">
        <v>70</v>
      </c>
    </row>
    <row r="2" spans="1:2" x14ac:dyDescent="0.3">
      <c r="A2" s="27" t="s">
        <v>68</v>
      </c>
      <c r="B2" s="26" t="s">
        <v>68</v>
      </c>
    </row>
    <row r="3" spans="1:2" x14ac:dyDescent="0.3">
      <c r="A3" s="28">
        <v>55</v>
      </c>
      <c r="B3" s="29" t="s">
        <v>71</v>
      </c>
    </row>
    <row r="4" spans="1:2" x14ac:dyDescent="0.3">
      <c r="A4" s="28">
        <v>66</v>
      </c>
      <c r="B4" s="29" t="s">
        <v>72</v>
      </c>
    </row>
    <row r="5" spans="1:2" x14ac:dyDescent="0.3">
      <c r="A5" s="28">
        <v>77</v>
      </c>
      <c r="B5" s="29" t="s">
        <v>73</v>
      </c>
    </row>
    <row r="6" spans="1:2" x14ac:dyDescent="0.3">
      <c r="A6" s="28">
        <v>88</v>
      </c>
      <c r="B6" s="29" t="s">
        <v>74</v>
      </c>
    </row>
    <row r="7" spans="1:2" x14ac:dyDescent="0.3">
      <c r="A7" s="28">
        <v>99</v>
      </c>
      <c r="B7" s="29" t="s">
        <v>75</v>
      </c>
    </row>
    <row r="8" spans="1:2" x14ac:dyDescent="0.3">
      <c r="A8" s="28">
        <v>100</v>
      </c>
      <c r="B8" s="29" t="s">
        <v>76</v>
      </c>
    </row>
    <row r="9" spans="1:2" x14ac:dyDescent="0.3">
      <c r="A9" s="28">
        <v>12</v>
      </c>
      <c r="B9" s="29" t="s">
        <v>77</v>
      </c>
    </row>
    <row r="10" spans="1:2" x14ac:dyDescent="0.3">
      <c r="A10" s="28">
        <v>33</v>
      </c>
      <c r="B10" s="29" t="s">
        <v>78</v>
      </c>
    </row>
    <row r="11" spans="1:2" x14ac:dyDescent="0.3">
      <c r="A11" s="28">
        <v>44</v>
      </c>
      <c r="B11" s="29" t="s">
        <v>79</v>
      </c>
    </row>
    <row r="12" spans="1:2" x14ac:dyDescent="0.3">
      <c r="A12" s="28">
        <v>22</v>
      </c>
      <c r="B12" s="29" t="s">
        <v>80</v>
      </c>
    </row>
    <row r="13" spans="1:2" x14ac:dyDescent="0.3">
      <c r="A13" s="28">
        <v>12</v>
      </c>
      <c r="B13" s="29" t="s">
        <v>77</v>
      </c>
    </row>
    <row r="14" spans="1:2" x14ac:dyDescent="0.3">
      <c r="A14" s="28">
        <v>11</v>
      </c>
      <c r="B14" s="29" t="s">
        <v>81</v>
      </c>
    </row>
    <row r="15" spans="1:2" x14ac:dyDescent="0.3">
      <c r="A15" s="28">
        <v>10</v>
      </c>
      <c r="B15" s="29" t="s">
        <v>82</v>
      </c>
    </row>
    <row r="16" spans="1:2" x14ac:dyDescent="0.3">
      <c r="A16" s="28">
        <v>9</v>
      </c>
      <c r="B16" s="2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MID ,FIND</vt:lpstr>
      <vt:lpstr>TEXT</vt:lpstr>
      <vt:lpstr>DATA VALIDATION ,V LOOKUP</vt:lpstr>
      <vt:lpstr>CONDITIONAL FORMATING</vt:lpstr>
      <vt:lpstr>CUSTOM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SHAIKH</dc:creator>
  <cp:lastModifiedBy>ABDULLAH SHAIKH</cp:lastModifiedBy>
  <dcterms:created xsi:type="dcterms:W3CDTF">2026-01-01T07:43:10Z</dcterms:created>
  <dcterms:modified xsi:type="dcterms:W3CDTF">2026-01-01T09:59:50Z</dcterms:modified>
</cp:coreProperties>
</file>